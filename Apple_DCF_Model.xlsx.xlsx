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48c79e69e11cf1c/Desktop/New folder/"/>
    </mc:Choice>
  </mc:AlternateContent>
  <xr:revisionPtr revIDLastSave="848" documentId="8_{DC15C2AB-65BE-4B98-BA7F-3634F472553E}" xr6:coauthVersionLast="47" xr6:coauthVersionMax="47" xr10:uidLastSave="{A1F59D3F-C00F-4E26-A3B1-BC27F2918117}"/>
  <bookViews>
    <workbookView xWindow="-108" yWindow="-108" windowWidth="23256" windowHeight="12456" activeTab="6" xr2:uid="{9FF9B8B7-5799-4F67-8300-65DED57386E7}"/>
  </bookViews>
  <sheets>
    <sheet name="README" sheetId="8" r:id="rId1"/>
    <sheet name="Assumptions" sheetId="5" r:id="rId2"/>
    <sheet name="Income Statement" sheetId="2" r:id="rId3"/>
    <sheet name="Balance Sheet" sheetId="1" r:id="rId4"/>
    <sheet name="Cash Flow" sheetId="3" r:id="rId5"/>
    <sheet name="Operating Statistics" sheetId="4" r:id="rId6"/>
    <sheet name="DCF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7" l="1"/>
  <c r="D3" i="7"/>
  <c r="B51" i="4"/>
  <c r="C51" i="4"/>
  <c r="D51" i="4"/>
  <c r="E40" i="4" s="1"/>
  <c r="E51" i="4"/>
  <c r="F51" i="4"/>
  <c r="B52" i="4"/>
  <c r="C52" i="4"/>
  <c r="D52" i="4"/>
  <c r="E41" i="4" s="1"/>
  <c r="E52" i="4"/>
  <c r="F52" i="4"/>
  <c r="B53" i="4"/>
  <c r="C53" i="4"/>
  <c r="D53" i="4"/>
  <c r="E42" i="4" s="1"/>
  <c r="E53" i="4"/>
  <c r="F53" i="4"/>
  <c r="B54" i="4"/>
  <c r="C54" i="4"/>
  <c r="D54" i="4"/>
  <c r="E43" i="4" s="1"/>
  <c r="E54" i="4"/>
  <c r="F54" i="4"/>
  <c r="B55" i="4"/>
  <c r="C55" i="4"/>
  <c r="D55" i="4"/>
  <c r="E44" i="4" s="1"/>
  <c r="E55" i="4"/>
  <c r="F55" i="4"/>
  <c r="B3" i="7"/>
  <c r="H32" i="7"/>
  <c r="B36" i="7"/>
  <c r="M14" i="7"/>
  <c r="M15" i="7" s="1"/>
  <c r="M9" i="7"/>
  <c r="M10" i="7" s="1"/>
  <c r="M7" i="7"/>
  <c r="M5" i="7"/>
  <c r="B20" i="7"/>
  <c r="B19" i="7"/>
  <c r="B18" i="7"/>
  <c r="B17" i="7"/>
  <c r="B16" i="7"/>
  <c r="C15" i="7"/>
  <c r="D15" i="7"/>
  <c r="E15" i="7"/>
  <c r="B15" i="7"/>
  <c r="B14" i="7"/>
  <c r="C13" i="7"/>
  <c r="B13" i="7"/>
  <c r="B12" i="7"/>
  <c r="B37" i="5"/>
  <c r="F16" i="1"/>
  <c r="E16" i="1"/>
  <c r="D16" i="1"/>
  <c r="D23" i="1"/>
  <c r="C18" i="7" s="1"/>
  <c r="F31" i="1"/>
  <c r="F32" i="1" s="1"/>
  <c r="E31" i="1"/>
  <c r="D31" i="1"/>
  <c r="C45" i="5"/>
  <c r="J15" i="1"/>
  <c r="E4" i="3"/>
  <c r="B55" i="5"/>
  <c r="B45" i="5"/>
  <c r="B49" i="5" s="1"/>
  <c r="F25" i="1"/>
  <c r="E25" i="1"/>
  <c r="D25" i="1"/>
  <c r="B40" i="5"/>
  <c r="B43" i="5" s="1"/>
  <c r="C40" i="5" s="1"/>
  <c r="E32" i="1"/>
  <c r="E30" i="1"/>
  <c r="D32" i="1"/>
  <c r="F30" i="1"/>
  <c r="D30" i="1"/>
  <c r="E26" i="1"/>
  <c r="F26" i="1"/>
  <c r="D26" i="1"/>
  <c r="C45" i="4"/>
  <c r="B45" i="4"/>
  <c r="D45" i="4"/>
  <c r="H28" i="4"/>
  <c r="H29" i="4"/>
  <c r="H30" i="4"/>
  <c r="H31" i="4"/>
  <c r="H27" i="4"/>
  <c r="C32" i="4"/>
  <c r="D32" i="4"/>
  <c r="E32" i="4"/>
  <c r="F32" i="4"/>
  <c r="G32" i="4"/>
  <c r="B32" i="4"/>
  <c r="H32" i="4" s="1"/>
  <c r="H17" i="4"/>
  <c r="H18" i="4"/>
  <c r="H19" i="4"/>
  <c r="H20" i="4"/>
  <c r="H16" i="4"/>
  <c r="C21" i="4"/>
  <c r="D21" i="4"/>
  <c r="E21" i="4"/>
  <c r="F21" i="4"/>
  <c r="G21" i="4"/>
  <c r="B21" i="4"/>
  <c r="H9" i="4"/>
  <c r="H7" i="4"/>
  <c r="H6" i="4"/>
  <c r="H8" i="4"/>
  <c r="H5" i="4"/>
  <c r="G10" i="4"/>
  <c r="C10" i="4"/>
  <c r="D10" i="4"/>
  <c r="E10" i="4"/>
  <c r="F10" i="4"/>
  <c r="B10" i="4"/>
  <c r="C22" i="2"/>
  <c r="C24" i="2" s="1"/>
  <c r="B22" i="2"/>
  <c r="B24" i="2" s="1"/>
  <c r="D22" i="2"/>
  <c r="D24" i="2" s="1"/>
  <c r="E23" i="1" l="1"/>
  <c r="B25" i="7"/>
  <c r="M11" i="7"/>
  <c r="M13" i="7" s="1"/>
  <c r="F43" i="4"/>
  <c r="G43" i="4" s="1"/>
  <c r="F42" i="4"/>
  <c r="G42" i="4" s="1"/>
  <c r="F41" i="4"/>
  <c r="G41" i="4" s="1"/>
  <c r="E5" i="2"/>
  <c r="E45" i="4"/>
  <c r="F40" i="4"/>
  <c r="E6" i="2"/>
  <c r="F44" i="4"/>
  <c r="F6" i="2" s="1"/>
  <c r="H21" i="4"/>
  <c r="H10" i="4"/>
  <c r="C25" i="7" l="1"/>
  <c r="D25" i="7"/>
  <c r="D18" i="7"/>
  <c r="F23" i="1"/>
  <c r="E18" i="7" s="1"/>
  <c r="M12" i="7"/>
  <c r="E10" i="2"/>
  <c r="D9" i="1"/>
  <c r="C14" i="7" s="1"/>
  <c r="E7" i="2"/>
  <c r="G44" i="4"/>
  <c r="G6" i="2" s="1"/>
  <c r="E11" i="2"/>
  <c r="D24" i="1"/>
  <c r="G40" i="4"/>
  <c r="F45" i="4"/>
  <c r="F5" i="2"/>
  <c r="F24" i="1" l="1"/>
  <c r="G11" i="2"/>
  <c r="F11" i="2"/>
  <c r="E24" i="1"/>
  <c r="C42" i="5"/>
  <c r="E9" i="3" s="1"/>
  <c r="B5" i="7" s="1"/>
  <c r="D7" i="1"/>
  <c r="D8" i="1"/>
  <c r="D13" i="7" s="1"/>
  <c r="E17" i="2"/>
  <c r="E16" i="2"/>
  <c r="E21" i="2"/>
  <c r="C41" i="5"/>
  <c r="E10" i="3"/>
  <c r="E15" i="3"/>
  <c r="E9" i="1"/>
  <c r="F7" i="2"/>
  <c r="F10" i="2"/>
  <c r="F12" i="2" s="1"/>
  <c r="E22" i="1" s="1"/>
  <c r="D17" i="7" s="1"/>
  <c r="D19" i="7" s="1"/>
  <c r="G5" i="2"/>
  <c r="G45" i="4"/>
  <c r="E12" i="2"/>
  <c r="D22" i="1" s="1"/>
  <c r="C17" i="7" s="1"/>
  <c r="C19" i="7" s="1"/>
  <c r="C12" i="7" l="1"/>
  <c r="C16" i="7" s="1"/>
  <c r="C20" i="7" s="1"/>
  <c r="C21" i="7" s="1"/>
  <c r="B7" i="7" s="1"/>
  <c r="F15" i="3"/>
  <c r="D14" i="7"/>
  <c r="E18" i="2"/>
  <c r="E25" i="3"/>
  <c r="C43" i="5"/>
  <c r="E17" i="3"/>
  <c r="D27" i="1"/>
  <c r="D33" i="1" s="1"/>
  <c r="F17" i="3"/>
  <c r="E27" i="1"/>
  <c r="E33" i="1" s="1"/>
  <c r="E8" i="1"/>
  <c r="E13" i="7" s="1"/>
  <c r="F17" i="2"/>
  <c r="F16" i="2"/>
  <c r="F13" i="2"/>
  <c r="D41" i="5"/>
  <c r="F25" i="3" s="1"/>
  <c r="E7" i="1"/>
  <c r="D12" i="7" s="1"/>
  <c r="F10" i="3"/>
  <c r="D42" i="5"/>
  <c r="F9" i="3" s="1"/>
  <c r="F21" i="2"/>
  <c r="E14" i="3"/>
  <c r="G10" i="2"/>
  <c r="G12" i="2" s="1"/>
  <c r="F22" i="1" s="1"/>
  <c r="E17" i="7" s="1"/>
  <c r="E19" i="7" s="1"/>
  <c r="G7" i="2"/>
  <c r="F9" i="1"/>
  <c r="E14" i="7" s="1"/>
  <c r="E13" i="2"/>
  <c r="E13" i="3"/>
  <c r="C5" i="7" l="1"/>
  <c r="G15" i="3"/>
  <c r="F18" i="2"/>
  <c r="F27" i="3"/>
  <c r="C6" i="7"/>
  <c r="E20" i="2"/>
  <c r="E27" i="3"/>
  <c r="B6" i="7"/>
  <c r="F13" i="3"/>
  <c r="D16" i="7"/>
  <c r="D20" i="7" s="1"/>
  <c r="D21" i="7" s="1"/>
  <c r="C7" i="7" s="1"/>
  <c r="F20" i="2"/>
  <c r="C2" i="7" s="1"/>
  <c r="F14" i="3"/>
  <c r="G17" i="3"/>
  <c r="F27" i="1"/>
  <c r="F33" i="1" s="1"/>
  <c r="D40" i="5"/>
  <c r="D43" i="5" s="1"/>
  <c r="E15" i="1" s="1"/>
  <c r="D15" i="1"/>
  <c r="D17" i="1" s="1"/>
  <c r="E42" i="5"/>
  <c r="G9" i="3" s="1"/>
  <c r="G10" i="3"/>
  <c r="E41" i="5"/>
  <c r="G25" i="3" s="1"/>
  <c r="G13" i="2"/>
  <c r="G17" i="2"/>
  <c r="F7" i="1"/>
  <c r="E12" i="7" s="1"/>
  <c r="G21" i="2"/>
  <c r="G16" i="2"/>
  <c r="F8" i="1"/>
  <c r="G14" i="3" s="1"/>
  <c r="D5" i="7" l="1"/>
  <c r="G13" i="3"/>
  <c r="E16" i="7"/>
  <c r="E20" i="7" s="1"/>
  <c r="E21" i="7" s="1"/>
  <c r="D7" i="7" s="1"/>
  <c r="F22" i="2"/>
  <c r="F23" i="2" s="1"/>
  <c r="F24" i="2" s="1"/>
  <c r="F7" i="3" s="1"/>
  <c r="C4" i="7"/>
  <c r="C8" i="7" s="1"/>
  <c r="G27" i="3"/>
  <c r="D6" i="7"/>
  <c r="E22" i="2"/>
  <c r="E23" i="2" s="1"/>
  <c r="E24" i="2" s="1"/>
  <c r="E7" i="3" s="1"/>
  <c r="B2" i="7"/>
  <c r="B4" i="7" s="1"/>
  <c r="B8" i="7" s="1"/>
  <c r="B24" i="7" s="1"/>
  <c r="B26" i="7" s="1"/>
  <c r="B30" i="7" s="1"/>
  <c r="G18" i="2"/>
  <c r="G20" i="2" s="1"/>
  <c r="D2" i="7" s="1"/>
  <c r="E40" i="5"/>
  <c r="E43" i="5" s="1"/>
  <c r="F15" i="1" s="1"/>
  <c r="E17" i="1"/>
  <c r="C24" i="7" l="1"/>
  <c r="C26" i="7" s="1"/>
  <c r="B31" i="7" s="1"/>
  <c r="F17" i="1"/>
  <c r="D46" i="5"/>
  <c r="C46" i="5"/>
  <c r="C47" i="5"/>
  <c r="D47" i="5"/>
  <c r="D48" i="5"/>
  <c r="F32" i="3" s="1"/>
  <c r="G22" i="2"/>
  <c r="G23" i="2" s="1"/>
  <c r="G24" i="2" s="1"/>
  <c r="G7" i="3" s="1"/>
  <c r="D4" i="7"/>
  <c r="D8" i="7" s="1"/>
  <c r="D24" i="7" s="1"/>
  <c r="E31" i="3"/>
  <c r="C48" i="5"/>
  <c r="E19" i="3"/>
  <c r="F19" i="3" l="1"/>
  <c r="F31" i="3"/>
  <c r="D26" i="7"/>
  <c r="B32" i="7" s="1"/>
  <c r="M17" i="7"/>
  <c r="M18" i="7" s="1"/>
  <c r="M19" i="7" s="1"/>
  <c r="B33" i="7" s="1"/>
  <c r="E32" i="3"/>
  <c r="E37" i="3" s="1"/>
  <c r="E39" i="3" s="1"/>
  <c r="E40" i="3" s="1"/>
  <c r="E47" i="5"/>
  <c r="E46" i="5"/>
  <c r="C49" i="5"/>
  <c r="F37" i="3" l="1"/>
  <c r="F39" i="3" s="1"/>
  <c r="B34" i="7"/>
  <c r="D5" i="1"/>
  <c r="D11" i="1" s="1"/>
  <c r="D18" i="1" s="1"/>
  <c r="F4" i="3"/>
  <c r="D45" i="5"/>
  <c r="D49" i="5" s="1"/>
  <c r="E40" i="1" s="1"/>
  <c r="D40" i="1"/>
  <c r="D41" i="1" s="1"/>
  <c r="G31" i="3"/>
  <c r="E48" i="5"/>
  <c r="G32" i="3" s="1"/>
  <c r="G19" i="3"/>
  <c r="F40" i="3" l="1"/>
  <c r="E5" i="1" s="1"/>
  <c r="E11" i="1" s="1"/>
  <c r="E18" i="1" s="1"/>
  <c r="G37" i="3"/>
  <c r="G39" i="3" s="1"/>
  <c r="E45" i="5"/>
  <c r="E49" i="5" s="1"/>
  <c r="F40" i="1" s="1"/>
  <c r="E41" i="1"/>
  <c r="F41" i="1" l="1"/>
  <c r="G4" i="3"/>
  <c r="G40" i="3" s="1"/>
  <c r="F5" i="1" l="1"/>
  <c r="F11" i="1" s="1"/>
  <c r="F18" i="1" s="1"/>
  <c r="B35" i="7"/>
  <c r="B37" i="7" s="1"/>
  <c r="B38" i="7" s="1"/>
  <c r="H31" i="7" l="1"/>
  <c r="H33" i="7" s="1"/>
  <c r="A42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A81DEC4-AB8D-42C0-9804-CD50E2095C8E}" keepAlive="1" name="Query - Table038 (Page 31)" description="Connection to the 'Table038 (Page 31)' query in the workbook." type="5" refreshedVersion="0" background="1">
    <dbPr connection="Provider=Microsoft.Mashup.OleDb.1;Data Source=$Workbook$;Location=&quot;Table038 (Page 31)&quot;;Extended Properties=&quot;&quot;" command="SELECT * FROM [Table038 (Page 31)]"/>
  </connection>
</connections>
</file>

<file path=xl/sharedStrings.xml><?xml version="1.0" encoding="utf-8"?>
<sst xmlns="http://schemas.openxmlformats.org/spreadsheetml/2006/main" count="369" uniqueCount="230">
  <si>
    <t>Products</t>
  </si>
  <si>
    <t>Services</t>
  </si>
  <si>
    <t>Selling, general and administrative</t>
  </si>
  <si>
    <t>Other income/(expense), net</t>
  </si>
  <si>
    <t>Net income</t>
  </si>
  <si>
    <t>Earnings per share:</t>
  </si>
  <si>
    <t>Basic</t>
  </si>
  <si>
    <t>Diluted</t>
  </si>
  <si>
    <t>Shares used in computing earnings per share:</t>
  </si>
  <si>
    <t>Net Sales:</t>
  </si>
  <si>
    <t>Total Net Sales</t>
  </si>
  <si>
    <t>In Millions, except no. of Shares which are reflected in Thousands, and per-share amount</t>
  </si>
  <si>
    <t>Years ended</t>
  </si>
  <si>
    <t>Product</t>
  </si>
  <si>
    <t>Cost of Sales</t>
  </si>
  <si>
    <t>Cost of Sales:</t>
  </si>
  <si>
    <t>Total Cost of Sales</t>
  </si>
  <si>
    <t>Gross Margin</t>
  </si>
  <si>
    <t>Operating Expenses:</t>
  </si>
  <si>
    <t>Research and Develpoment</t>
  </si>
  <si>
    <t>Total Operating Expenses</t>
  </si>
  <si>
    <t>Operating Income</t>
  </si>
  <si>
    <t>Income before provissions for Income taxes</t>
  </si>
  <si>
    <t>Provision for Income taxes</t>
  </si>
  <si>
    <t>Net Income</t>
  </si>
  <si>
    <t>ASSETS:</t>
  </si>
  <si>
    <t>Current Assets:</t>
  </si>
  <si>
    <t>Cash and Cash Equivalents</t>
  </si>
  <si>
    <t>Marketable Securities</t>
  </si>
  <si>
    <t>Accounts Receivable, net</t>
  </si>
  <si>
    <t>Vendor non-trade receivable</t>
  </si>
  <si>
    <t>Inventories</t>
  </si>
  <si>
    <t>Other current asset</t>
  </si>
  <si>
    <t>Total current asset</t>
  </si>
  <si>
    <t>Non- current assets:</t>
  </si>
  <si>
    <t>Marketable Securites</t>
  </si>
  <si>
    <t>Property, plant and equivament, net</t>
  </si>
  <si>
    <t>Other non-current asset</t>
  </si>
  <si>
    <t>Total non- current asset</t>
  </si>
  <si>
    <t>Total asset</t>
  </si>
  <si>
    <t>Liabilities and Shareholders Equity:</t>
  </si>
  <si>
    <t>Current liabilities:</t>
  </si>
  <si>
    <t>Accounts payable</t>
  </si>
  <si>
    <t>Other current liabilities</t>
  </si>
  <si>
    <t>Deferred Revenue</t>
  </si>
  <si>
    <t>Commercial Paper</t>
  </si>
  <si>
    <t>Term Debt</t>
  </si>
  <si>
    <t>Total current liabilities</t>
  </si>
  <si>
    <t>Non-current liabilities:</t>
  </si>
  <si>
    <t>Other non-current liabilities</t>
  </si>
  <si>
    <t>Total non-current liabilities</t>
  </si>
  <si>
    <t>Total liabilities</t>
  </si>
  <si>
    <t>Shareholders' equity:</t>
  </si>
  <si>
    <t>Common stock and additional paid in capital, $0.00001 par value: 50,400,000 shares</t>
  </si>
  <si>
    <t>authorized; 14,773,260 and 15,116,786 shares issued and outstanding, respectively</t>
  </si>
  <si>
    <t>Accumulated deficit</t>
  </si>
  <si>
    <t>Accumulated other comprehensive loss</t>
  </si>
  <si>
    <t>Total shareholders' equity</t>
  </si>
  <si>
    <t>Total liabilities and shareholders' equity</t>
  </si>
  <si>
    <t>In Millions</t>
  </si>
  <si>
    <t>Cash, cash equivalents, and restricted cash and cash equivalents, beginning balances</t>
  </si>
  <si>
    <t>Operating activities:</t>
  </si>
  <si>
    <t>Adjustment to reconcile net income to cash generated by operating activities:</t>
  </si>
  <si>
    <t>Depreciation and Amortization</t>
  </si>
  <si>
    <t>Share-based compensation expense</t>
  </si>
  <si>
    <t>Other</t>
  </si>
  <si>
    <t>Changes in operating asset and liabilities</t>
  </si>
  <si>
    <t>Accounts receivable, net</t>
  </si>
  <si>
    <t>Other current and non-current assets</t>
  </si>
  <si>
    <t>Other current and non-current liabilities</t>
  </si>
  <si>
    <t>Cash generated by operating activities</t>
  </si>
  <si>
    <t>Investing activities:</t>
  </si>
  <si>
    <t>Purchase of Marketable securities</t>
  </si>
  <si>
    <t>Proceeds from maturities of marketable securities</t>
  </si>
  <si>
    <t>Proceeds from sale of marketable securities</t>
  </si>
  <si>
    <t>Payments for acquisition of property, plant and equipment</t>
  </si>
  <si>
    <t>Others</t>
  </si>
  <si>
    <t>Cash generated by investing activities</t>
  </si>
  <si>
    <t>Financing activities:</t>
  </si>
  <si>
    <t>Payments for taxes related to net share settlement and equity awards</t>
  </si>
  <si>
    <t>Payments for dividends and dividends equivalents</t>
  </si>
  <si>
    <t>Repurchases of common stock</t>
  </si>
  <si>
    <t>Proceeds from issuance of term debt, net</t>
  </si>
  <si>
    <t>Repayments of term debt</t>
  </si>
  <si>
    <t>Proceeds from /(Repayments of) commercial paper, net</t>
  </si>
  <si>
    <t>Cash used in Financing activities</t>
  </si>
  <si>
    <t>--</t>
  </si>
  <si>
    <t>Increase/(Decrease) in cash, cash equivalents, and restricted cash and cash equivalents</t>
  </si>
  <si>
    <t>Cash, cash equivalents, and restricted cash and cash equivalents, ending balances</t>
  </si>
  <si>
    <t>Supplemental cash flow disclosure:</t>
  </si>
  <si>
    <t>Cash paid for income taxes, net</t>
  </si>
  <si>
    <t>Segment Operating Performance</t>
  </si>
  <si>
    <t>($, in Millions)</t>
  </si>
  <si>
    <t>Americas</t>
  </si>
  <si>
    <t>Europe</t>
  </si>
  <si>
    <t>Greater China</t>
  </si>
  <si>
    <t>Japan</t>
  </si>
  <si>
    <t>Rest of Asia Pacific</t>
  </si>
  <si>
    <t>Corporate</t>
  </si>
  <si>
    <t>Total</t>
  </si>
  <si>
    <t>Net Sales</t>
  </si>
  <si>
    <t>Research and Development</t>
  </si>
  <si>
    <t>Selling and Marketing</t>
  </si>
  <si>
    <t>General and Administrative</t>
  </si>
  <si>
    <t>Operating income/loss</t>
  </si>
  <si>
    <t>Products and Services Performance</t>
  </si>
  <si>
    <t>(Net Sales, $, in Millions)</t>
  </si>
  <si>
    <t>iPhone</t>
  </si>
  <si>
    <t>Mac</t>
  </si>
  <si>
    <t>iPad</t>
  </si>
  <si>
    <t>Wearables, Home and Accessories</t>
  </si>
  <si>
    <t>2025A</t>
  </si>
  <si>
    <t>2026E</t>
  </si>
  <si>
    <t>2027E</t>
  </si>
  <si>
    <t>2028E</t>
  </si>
  <si>
    <t>Growth %</t>
  </si>
  <si>
    <t>2024A</t>
  </si>
  <si>
    <t>Wearables, Home, Accessories</t>
  </si>
  <si>
    <t>Bear</t>
  </si>
  <si>
    <t>Base</t>
  </si>
  <si>
    <t>Bull</t>
  </si>
  <si>
    <t>Products and Services</t>
  </si>
  <si>
    <t>2023A</t>
  </si>
  <si>
    <t>Product Gross Margin</t>
  </si>
  <si>
    <t>Services Margin</t>
  </si>
  <si>
    <t>R&amp;D % as Revenue</t>
  </si>
  <si>
    <t>SG&amp;A % as Revenue</t>
  </si>
  <si>
    <t>Operating Expenses</t>
  </si>
  <si>
    <t>2026E%</t>
  </si>
  <si>
    <t>2027E%</t>
  </si>
  <si>
    <t>2028E%</t>
  </si>
  <si>
    <t>Provision for Income Taxes</t>
  </si>
  <si>
    <t>Working Capital</t>
  </si>
  <si>
    <t>Accounts Receivable % Revenue</t>
  </si>
  <si>
    <t>Vendor non-trade receivable % Revenue</t>
  </si>
  <si>
    <t>Inventory % Product Revenue</t>
  </si>
  <si>
    <t>Accounts Payable % Cost of Sales</t>
  </si>
  <si>
    <t>Deferred Revenue % Services Revenue</t>
  </si>
  <si>
    <t>Other Current Liabilities</t>
  </si>
  <si>
    <t>CapEx</t>
  </si>
  <si>
    <t>Depreciation, Ammortization</t>
  </si>
  <si>
    <t>PP&amp;E schedule</t>
  </si>
  <si>
    <t>Beginning PP&amp;E</t>
  </si>
  <si>
    <t>Depreciation and Ammortization</t>
  </si>
  <si>
    <t>Ending PP&amp;E</t>
  </si>
  <si>
    <t>Beginning Equity</t>
  </si>
  <si>
    <t>Dividends</t>
  </si>
  <si>
    <t>Buyback</t>
  </si>
  <si>
    <t>Ending Equity</t>
  </si>
  <si>
    <t>Dividend</t>
  </si>
  <si>
    <t>Cash Flow</t>
  </si>
  <si>
    <t>Share based compensation expense</t>
  </si>
  <si>
    <t>Markatable securities</t>
  </si>
  <si>
    <t>EBIT</t>
  </si>
  <si>
    <t>Tax Rate</t>
  </si>
  <si>
    <t>NOPAT</t>
  </si>
  <si>
    <t>Net Working Capital</t>
  </si>
  <si>
    <t>FCFF</t>
  </si>
  <si>
    <t>Vendor Receivable</t>
  </si>
  <si>
    <t>Inventory</t>
  </si>
  <si>
    <t>Average Receivable</t>
  </si>
  <si>
    <t>Other Current Assets</t>
  </si>
  <si>
    <t>Operating Current Asset</t>
  </si>
  <si>
    <t>Average Payables</t>
  </si>
  <si>
    <t>Operating Current Liabilities</t>
  </si>
  <si>
    <t>NWC</t>
  </si>
  <si>
    <t xml:space="preserve">      NWC</t>
  </si>
  <si>
    <t>Value</t>
  </si>
  <si>
    <t>WACC</t>
  </si>
  <si>
    <t>Assumptions</t>
  </si>
  <si>
    <t>Risk-free rate</t>
  </si>
  <si>
    <t>Beta</t>
  </si>
  <si>
    <t>Cost of Equity</t>
  </si>
  <si>
    <t>Equity Risk Premium</t>
  </si>
  <si>
    <t>Cost of Debt</t>
  </si>
  <si>
    <t>Debt</t>
  </si>
  <si>
    <t>Share price</t>
  </si>
  <si>
    <t>Diluted shares outstanding</t>
  </si>
  <si>
    <t xml:space="preserve">Equity  </t>
  </si>
  <si>
    <t>Total Capital</t>
  </si>
  <si>
    <t>Weight of Equity</t>
  </si>
  <si>
    <t>Weight of Debt</t>
  </si>
  <si>
    <t>After tax cost of debt</t>
  </si>
  <si>
    <t xml:space="preserve">Terminal Growth </t>
  </si>
  <si>
    <t>Terminal FCFF</t>
  </si>
  <si>
    <t>Terminal Value</t>
  </si>
  <si>
    <t>Discount FCFFs</t>
  </si>
  <si>
    <t>Discount Factor</t>
  </si>
  <si>
    <t>PV FCFF</t>
  </si>
  <si>
    <t>Discounted Terminal Value</t>
  </si>
  <si>
    <t>Valuation</t>
  </si>
  <si>
    <t>PV OF 2026</t>
  </si>
  <si>
    <t>PV OF 2027</t>
  </si>
  <si>
    <t>PV OF 2028</t>
  </si>
  <si>
    <t>PV Terminal value</t>
  </si>
  <si>
    <t>Enterprise Value</t>
  </si>
  <si>
    <t>Equity Value</t>
  </si>
  <si>
    <t>Cash</t>
  </si>
  <si>
    <t>Target Price</t>
  </si>
  <si>
    <t>Target share price</t>
  </si>
  <si>
    <t>Current Price</t>
  </si>
  <si>
    <t>Sensitivity Table</t>
  </si>
  <si>
    <t>Upside</t>
  </si>
  <si>
    <t>(Terminal Growth)</t>
  </si>
  <si>
    <t>(WACC)</t>
  </si>
  <si>
    <t>Apple Inc. (APPL) DCF Valuation Model</t>
  </si>
  <si>
    <t>Valuation Date</t>
  </si>
  <si>
    <t>Methodology</t>
  </si>
  <si>
    <t>Forecast Period</t>
  </si>
  <si>
    <t>Terminal Growth</t>
  </si>
  <si>
    <t>Implied Downside</t>
  </si>
  <si>
    <t>3-statement model + FCFF DCF</t>
  </si>
  <si>
    <t>2026E-2028E</t>
  </si>
  <si>
    <t>Key Drivers</t>
  </si>
  <si>
    <t>Margin Assumptions</t>
  </si>
  <si>
    <t>Working Capital Assumptions</t>
  </si>
  <si>
    <t>Share Repurchases</t>
  </si>
  <si>
    <t>Products Growth Assumptions</t>
  </si>
  <si>
    <t>Services Growth Assumptions</t>
  </si>
  <si>
    <t>Workbook Structure</t>
  </si>
  <si>
    <t>Income Statement</t>
  </si>
  <si>
    <t>Balance Sheet</t>
  </si>
  <si>
    <t>Operating Statistics</t>
  </si>
  <si>
    <t>DCF</t>
  </si>
  <si>
    <t>Model Checks</t>
  </si>
  <si>
    <t>Balance Sheet Balances</t>
  </si>
  <si>
    <t>Cash Flow Reconciles</t>
  </si>
  <si>
    <t>DCF Links Working</t>
  </si>
  <si>
    <t>No Circular Refrences</t>
  </si>
  <si>
    <t>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</si>
</sst>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 &quot;₹&quot;\ * #,##0_ ;_ &quot;₹&quot;\ * \-#,##0_ ;_ &quot;₹&quot;\ * &quot;-&quot;_ ;_ @_ "/>
    <numFmt numFmtId="41" formatCode="_ * #,##0_ ;_ * \-#,##0_ ;_ * &quot;-&quot;_ ;_ @_ "/>
    <numFmt numFmtId="43" formatCode="_ * #,##0.00_ ;_ * \-#,##0.00_ ;_ * &quot;-&quot;??_ ;_ @_ "/>
    <numFmt numFmtId="164" formatCode="0.00000%"/>
    <numFmt numFmtId="165" formatCode="0.0000%"/>
    <numFmt numFmtId="166" formatCode="#,##0;\(#,##0\)"/>
    <numFmt numFmtId="167" formatCode="#,##0.00;\(#,##0.00\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theme="4" tint="-0.249977111117893"/>
      </left>
      <right/>
      <top/>
      <bottom/>
      <diagonal/>
    </border>
    <border>
      <left style="medium">
        <color theme="4" tint="-0.249977111117893"/>
      </left>
      <right/>
      <top/>
      <bottom style="medium">
        <color theme="4" tint="-0.249977111117893"/>
      </bottom>
      <diagonal/>
    </border>
    <border>
      <left/>
      <right/>
      <top/>
      <bottom style="medium">
        <color theme="4" tint="-0.249977111117893"/>
      </bottom>
      <diagonal/>
    </border>
    <border>
      <left style="medium">
        <color theme="5" tint="-0.24994659260841701"/>
      </left>
      <right/>
      <top/>
      <bottom/>
      <diagonal/>
    </border>
    <border>
      <left style="medium">
        <color theme="5" tint="-0.24994659260841701"/>
      </left>
      <right/>
      <top/>
      <bottom style="medium">
        <color theme="5" tint="-0.24994659260841701"/>
      </bottom>
      <diagonal/>
    </border>
    <border>
      <left/>
      <right/>
      <top/>
      <bottom style="medium">
        <color theme="5" tint="-0.24994659260841701"/>
      </bottom>
      <diagonal/>
    </border>
    <border>
      <left style="medium">
        <color theme="9" tint="-0.24994659260841701"/>
      </left>
      <right/>
      <top/>
      <bottom/>
      <diagonal/>
    </border>
    <border>
      <left/>
      <right style="medium">
        <color theme="9" tint="-0.24994659260841701"/>
      </right>
      <top/>
      <bottom/>
      <diagonal/>
    </border>
    <border>
      <left style="medium">
        <color theme="9" tint="-0.24994659260841701"/>
      </left>
      <right/>
      <top/>
      <bottom style="medium">
        <color theme="9" tint="-0.24994659260841701"/>
      </bottom>
      <diagonal/>
    </border>
    <border>
      <left/>
      <right/>
      <top/>
      <bottom style="medium">
        <color theme="9" tint="-0.24994659260841701"/>
      </bottom>
      <diagonal/>
    </border>
    <border>
      <left/>
      <right style="medium">
        <color theme="9" tint="-0.24994659260841701"/>
      </right>
      <top/>
      <bottom style="medium">
        <color theme="9" tint="-0.24994659260841701"/>
      </bottom>
      <diagonal/>
    </border>
    <border>
      <left style="medium">
        <color theme="4" tint="-0.249977111117893"/>
      </left>
      <right/>
      <top style="medium">
        <color theme="4" tint="-0.249977111117893"/>
      </top>
      <bottom style="medium">
        <color theme="4" tint="-0.249977111117893"/>
      </bottom>
      <diagonal/>
    </border>
    <border>
      <left/>
      <right/>
      <top style="medium">
        <color theme="4" tint="-0.249977111117893"/>
      </top>
      <bottom style="medium">
        <color theme="4" tint="-0.249977111117893"/>
      </bottom>
      <diagonal/>
    </border>
    <border>
      <left/>
      <right style="medium">
        <color theme="4" tint="-0.249977111117893"/>
      </right>
      <top style="medium">
        <color theme="4" tint="-0.249977111117893"/>
      </top>
      <bottom style="medium">
        <color theme="4" tint="-0.249977111117893"/>
      </bottom>
      <diagonal/>
    </border>
    <border>
      <left style="medium">
        <color theme="4" tint="-0.249977111117893"/>
      </left>
      <right/>
      <top style="medium">
        <color theme="5" tint="-0.24994659260841701"/>
      </top>
      <bottom style="medium">
        <color theme="5" tint="-0.24994659260841701"/>
      </bottom>
      <diagonal/>
    </border>
    <border>
      <left/>
      <right/>
      <top style="medium">
        <color theme="5" tint="-0.24994659260841701"/>
      </top>
      <bottom style="medium">
        <color theme="5" tint="-0.24994659260841701"/>
      </bottom>
      <diagonal/>
    </border>
    <border>
      <left/>
      <right style="medium">
        <color theme="9" tint="-0.24994659260841701"/>
      </right>
      <top style="medium">
        <color theme="5" tint="-0.24994659260841701"/>
      </top>
      <bottom style="medium">
        <color theme="5" tint="-0.24994659260841701"/>
      </bottom>
      <diagonal/>
    </border>
    <border>
      <left style="medium">
        <color theme="9" tint="-0.24994659260841701"/>
      </left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 style="medium">
        <color theme="9" tint="-0.24994659260841701"/>
      </right>
      <top style="medium">
        <color theme="9" tint="-0.24994659260841701"/>
      </top>
      <bottom style="medium">
        <color theme="9" tint="-0.24994659260841701"/>
      </bottom>
      <diagonal/>
    </border>
    <border>
      <left/>
      <right style="medium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/>
      <right style="medium">
        <color theme="4" tint="-0.249977111117893"/>
      </right>
      <top/>
      <bottom style="thin">
        <color theme="4" tint="-0.249977111117893"/>
      </bottom>
      <diagonal/>
    </border>
    <border>
      <left/>
      <right/>
      <top style="thin">
        <color theme="1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3">
    <xf numFmtId="0" fontId="0" fillId="0" borderId="0" xfId="0"/>
    <xf numFmtId="43" fontId="0" fillId="0" borderId="0" xfId="1" applyFont="1"/>
    <xf numFmtId="41" fontId="0" fillId="0" borderId="0" xfId="1" applyNumberFormat="1" applyFont="1"/>
    <xf numFmtId="0" fontId="0" fillId="0" borderId="0" xfId="1" applyNumberFormat="1" applyFont="1"/>
    <xf numFmtId="41" fontId="0" fillId="0" borderId="1" xfId="1" applyNumberFormat="1" applyFont="1" applyBorder="1"/>
    <xf numFmtId="41" fontId="0" fillId="0" borderId="2" xfId="1" applyNumberFormat="1" applyFont="1" applyBorder="1"/>
    <xf numFmtId="41" fontId="0" fillId="0" borderId="3" xfId="1" applyNumberFormat="1" applyFont="1" applyBorder="1"/>
    <xf numFmtId="0" fontId="0" fillId="2" borderId="0" xfId="1" applyNumberFormat="1" applyFont="1" applyFill="1"/>
    <xf numFmtId="41" fontId="0" fillId="2" borderId="0" xfId="1" applyNumberFormat="1" applyFont="1" applyFill="1"/>
    <xf numFmtId="0" fontId="0" fillId="0" borderId="5" xfId="0" applyBorder="1"/>
    <xf numFmtId="41" fontId="0" fillId="0" borderId="2" xfId="0" applyNumberFormat="1" applyBorder="1"/>
    <xf numFmtId="41" fontId="0" fillId="0" borderId="0" xfId="0" applyNumberFormat="1"/>
    <xf numFmtId="41" fontId="0" fillId="0" borderId="5" xfId="0" applyNumberFormat="1" applyBorder="1"/>
    <xf numFmtId="41" fontId="0" fillId="0" borderId="4" xfId="0" applyNumberFormat="1" applyBorder="1"/>
    <xf numFmtId="42" fontId="0" fillId="0" borderId="0" xfId="0" applyNumberFormat="1"/>
    <xf numFmtId="0" fontId="0" fillId="0" borderId="6" xfId="0" applyBorder="1"/>
    <xf numFmtId="0" fontId="2" fillId="0" borderId="0" xfId="0" applyFont="1"/>
    <xf numFmtId="10" fontId="0" fillId="0" borderId="0" xfId="0" applyNumberFormat="1"/>
    <xf numFmtId="9" fontId="0" fillId="0" borderId="0" xfId="0" applyNumberFormat="1"/>
    <xf numFmtId="9" fontId="0" fillId="0" borderId="7" xfId="0" applyNumberFormat="1" applyBorder="1"/>
    <xf numFmtId="9" fontId="0" fillId="0" borderId="8" xfId="0" applyNumberFormat="1" applyBorder="1"/>
    <xf numFmtId="9" fontId="0" fillId="0" borderId="9" xfId="0" applyNumberFormat="1" applyBorder="1"/>
    <xf numFmtId="0" fontId="0" fillId="0" borderId="10" xfId="0" applyBorder="1"/>
    <xf numFmtId="9" fontId="0" fillId="0" borderId="10" xfId="0" applyNumberFormat="1" applyBorder="1"/>
    <xf numFmtId="9" fontId="0" fillId="0" borderId="11" xfId="0" applyNumberFormat="1" applyBorder="1"/>
    <xf numFmtId="9" fontId="0" fillId="0" borderId="12" xfId="0" applyNumberFormat="1" applyBorder="1"/>
    <xf numFmtId="0" fontId="0" fillId="0" borderId="13" xfId="0" applyBorder="1"/>
    <xf numFmtId="0" fontId="0" fillId="0" borderId="14" xfId="0" applyBorder="1"/>
    <xf numFmtId="9" fontId="0" fillId="0" borderId="13" xfId="0" applyNumberFormat="1" applyBorder="1"/>
    <xf numFmtId="9" fontId="0" fillId="0" borderId="14" xfId="0" applyNumberFormat="1" applyBorder="1"/>
    <xf numFmtId="9" fontId="0" fillId="0" borderId="15" xfId="0" applyNumberFormat="1" applyBorder="1"/>
    <xf numFmtId="9" fontId="0" fillId="0" borderId="16" xfId="0" applyNumberFormat="1" applyBorder="1"/>
    <xf numFmtId="9" fontId="0" fillId="0" borderId="17" xfId="0" applyNumberFormat="1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43" fontId="0" fillId="0" borderId="0" xfId="0" applyNumberFormat="1"/>
    <xf numFmtId="43" fontId="0" fillId="0" borderId="29" xfId="0" applyNumberFormat="1" applyBorder="1"/>
    <xf numFmtId="0" fontId="0" fillId="0" borderId="30" xfId="0" applyBorder="1"/>
    <xf numFmtId="0" fontId="0" fillId="0" borderId="5" xfId="0" applyBorder="1" applyAlignment="1">
      <alignment horizontal="center"/>
    </xf>
    <xf numFmtId="9" fontId="0" fillId="0" borderId="0" xfId="2" applyFont="1"/>
    <xf numFmtId="41" fontId="0" fillId="0" borderId="1" xfId="0" applyNumberFormat="1" applyBorder="1"/>
    <xf numFmtId="43" fontId="0" fillId="0" borderId="2" xfId="0" applyNumberFormat="1" applyBorder="1"/>
    <xf numFmtId="10" fontId="0" fillId="0" borderId="0" xfId="2" applyNumberFormat="1" applyFont="1"/>
    <xf numFmtId="43" fontId="0" fillId="0" borderId="1" xfId="0" applyNumberFormat="1" applyBorder="1"/>
    <xf numFmtId="43" fontId="0" fillId="0" borderId="0" xfId="2" applyNumberFormat="1" applyFont="1"/>
    <xf numFmtId="2" fontId="0" fillId="0" borderId="0" xfId="0" applyNumberFormat="1"/>
    <xf numFmtId="0" fontId="0" fillId="0" borderId="33" xfId="0" applyBorder="1"/>
    <xf numFmtId="0" fontId="0" fillId="0" borderId="1" xfId="0" applyBorder="1"/>
    <xf numFmtId="0" fontId="0" fillId="0" borderId="34" xfId="0" applyBorder="1"/>
    <xf numFmtId="0" fontId="0" fillId="0" borderId="35" xfId="0" applyBorder="1"/>
    <xf numFmtId="10" fontId="0" fillId="0" borderId="36" xfId="0" applyNumberFormat="1" applyBorder="1"/>
    <xf numFmtId="0" fontId="0" fillId="0" borderId="37" xfId="0" applyBorder="1"/>
    <xf numFmtId="10" fontId="0" fillId="0" borderId="4" xfId="0" applyNumberFormat="1" applyBorder="1"/>
    <xf numFmtId="9" fontId="0" fillId="0" borderId="38" xfId="0" applyNumberFormat="1" applyBorder="1"/>
    <xf numFmtId="10" fontId="0" fillId="0" borderId="38" xfId="0" applyNumberFormat="1" applyBorder="1"/>
    <xf numFmtId="41" fontId="0" fillId="0" borderId="33" xfId="1" applyNumberFormat="1" applyFont="1" applyBorder="1"/>
    <xf numFmtId="10" fontId="0" fillId="0" borderId="1" xfId="0" applyNumberFormat="1" applyBorder="1"/>
    <xf numFmtId="10" fontId="0" fillId="0" borderId="34" xfId="0" applyNumberFormat="1" applyBorder="1"/>
    <xf numFmtId="41" fontId="0" fillId="0" borderId="35" xfId="1" applyNumberFormat="1" applyFont="1" applyBorder="1"/>
    <xf numFmtId="9" fontId="0" fillId="0" borderId="4" xfId="0" applyNumberFormat="1" applyBorder="1"/>
    <xf numFmtId="9" fontId="0" fillId="0" borderId="36" xfId="0" applyNumberFormat="1" applyBorder="1"/>
    <xf numFmtId="41" fontId="0" fillId="0" borderId="0" xfId="2" applyNumberFormat="1" applyFont="1" applyBorder="1"/>
    <xf numFmtId="9" fontId="0" fillId="0" borderId="0" xfId="2" applyFont="1" applyBorder="1"/>
    <xf numFmtId="9" fontId="0" fillId="0" borderId="36" xfId="2" applyFont="1" applyBorder="1"/>
    <xf numFmtId="10" fontId="0" fillId="0" borderId="0" xfId="2" applyNumberFormat="1" applyFont="1" applyBorder="1"/>
    <xf numFmtId="10" fontId="0" fillId="0" borderId="36" xfId="2" applyNumberFormat="1" applyFont="1" applyBorder="1"/>
    <xf numFmtId="9" fontId="0" fillId="0" borderId="4" xfId="2" applyFont="1" applyBorder="1"/>
    <xf numFmtId="9" fontId="0" fillId="0" borderId="38" xfId="2" applyFont="1" applyBorder="1"/>
    <xf numFmtId="43" fontId="0" fillId="0" borderId="36" xfId="0" applyNumberFormat="1" applyBorder="1"/>
    <xf numFmtId="43" fontId="0" fillId="0" borderId="4" xfId="0" applyNumberFormat="1" applyBorder="1"/>
    <xf numFmtId="43" fontId="0" fillId="0" borderId="38" xfId="0" applyNumberFormat="1" applyBorder="1"/>
    <xf numFmtId="43" fontId="0" fillId="0" borderId="34" xfId="0" applyNumberFormat="1" applyBorder="1"/>
    <xf numFmtId="41" fontId="0" fillId="0" borderId="36" xfId="0" applyNumberFormat="1" applyBorder="1"/>
    <xf numFmtId="0" fontId="0" fillId="0" borderId="39" xfId="0" applyBorder="1"/>
    <xf numFmtId="0" fontId="0" fillId="0" borderId="2" xfId="0" applyBorder="1"/>
    <xf numFmtId="0" fontId="0" fillId="0" borderId="40" xfId="0" applyBorder="1"/>
    <xf numFmtId="0" fontId="0" fillId="0" borderId="4" xfId="0" applyBorder="1"/>
    <xf numFmtId="43" fontId="0" fillId="0" borderId="40" xfId="0" applyNumberFormat="1" applyBorder="1"/>
    <xf numFmtId="41" fontId="0" fillId="0" borderId="41" xfId="0" applyNumberFormat="1" applyBorder="1"/>
    <xf numFmtId="41" fontId="0" fillId="0" borderId="38" xfId="0" applyNumberFormat="1" applyBorder="1"/>
    <xf numFmtId="0" fontId="0" fillId="0" borderId="36" xfId="0" applyBorder="1"/>
    <xf numFmtId="2" fontId="0" fillId="0" borderId="38" xfId="0" applyNumberFormat="1" applyBorder="1"/>
    <xf numFmtId="0" fontId="0" fillId="0" borderId="32" xfId="0" applyBorder="1"/>
    <xf numFmtId="0" fontId="0" fillId="0" borderId="32" xfId="0" applyBorder="1" applyAlignment="1">
      <alignment horizontal="right"/>
    </xf>
    <xf numFmtId="0" fontId="0" fillId="0" borderId="42" xfId="0" applyBorder="1"/>
    <xf numFmtId="10" fontId="0" fillId="0" borderId="42" xfId="0" applyNumberFormat="1" applyBorder="1"/>
    <xf numFmtId="9" fontId="0" fillId="0" borderId="42" xfId="0" applyNumberFormat="1" applyBorder="1"/>
    <xf numFmtId="41" fontId="0" fillId="0" borderId="42" xfId="0" applyNumberFormat="1" applyBorder="1"/>
    <xf numFmtId="2" fontId="0" fillId="0" borderId="42" xfId="2" applyNumberFormat="1" applyFont="1" applyBorder="1"/>
    <xf numFmtId="43" fontId="0" fillId="0" borderId="42" xfId="0" applyNumberFormat="1" applyBorder="1"/>
    <xf numFmtId="165" fontId="0" fillId="0" borderId="42" xfId="0" applyNumberFormat="1" applyBorder="1"/>
    <xf numFmtId="164" fontId="0" fillId="0" borderId="42" xfId="0" applyNumberFormat="1" applyBorder="1"/>
    <xf numFmtId="43" fontId="0" fillId="0" borderId="43" xfId="0" applyNumberFormat="1" applyBorder="1"/>
    <xf numFmtId="9" fontId="0" fillId="0" borderId="35" xfId="0" applyNumberFormat="1" applyBorder="1" applyAlignment="1">
      <alignment horizontal="center" vertical="center"/>
    </xf>
    <xf numFmtId="10" fontId="0" fillId="0" borderId="35" xfId="0" applyNumberFormat="1" applyBorder="1" applyAlignment="1">
      <alignment horizontal="center" vertical="center"/>
    </xf>
    <xf numFmtId="9" fontId="0" fillId="0" borderId="37" xfId="0" applyNumberFormat="1" applyBorder="1" applyAlignment="1">
      <alignment horizontal="center" vertical="center"/>
    </xf>
    <xf numFmtId="0" fontId="0" fillId="0" borderId="38" xfId="0" applyBorder="1"/>
    <xf numFmtId="0" fontId="0" fillId="2" borderId="0" xfId="0" applyFill="1"/>
    <xf numFmtId="0" fontId="0" fillId="2" borderId="39" xfId="0" applyFill="1" applyBorder="1"/>
    <xf numFmtId="0" fontId="0" fillId="2" borderId="37" xfId="0" applyFill="1" applyBorder="1"/>
    <xf numFmtId="0" fontId="0" fillId="2" borderId="35" xfId="0" applyFill="1" applyBorder="1"/>
    <xf numFmtId="0" fontId="0" fillId="2" borderId="33" xfId="0" applyFill="1" applyBorder="1"/>
    <xf numFmtId="2" fontId="0" fillId="2" borderId="34" xfId="0" applyNumberFormat="1" applyFill="1" applyBorder="1"/>
    <xf numFmtId="2" fontId="0" fillId="2" borderId="36" xfId="0" applyNumberFormat="1" applyFill="1" applyBorder="1"/>
    <xf numFmtId="9" fontId="0" fillId="2" borderId="38" xfId="2" applyFont="1" applyFill="1" applyBorder="1"/>
    <xf numFmtId="0" fontId="0" fillId="2" borderId="42" xfId="0" applyFill="1" applyBorder="1"/>
    <xf numFmtId="0" fontId="0" fillId="2" borderId="43" xfId="0" applyFill="1" applyBorder="1"/>
    <xf numFmtId="0" fontId="0" fillId="2" borderId="2" xfId="0" applyFill="1" applyBorder="1"/>
    <xf numFmtId="0" fontId="0" fillId="2" borderId="40" xfId="0" applyFill="1" applyBorder="1"/>
    <xf numFmtId="166" fontId="3" fillId="0" borderId="0" xfId="1" applyNumberFormat="1" applyFont="1"/>
    <xf numFmtId="166" fontId="3" fillId="0" borderId="4" xfId="1" applyNumberFormat="1" applyFont="1" applyBorder="1"/>
    <xf numFmtId="166" fontId="0" fillId="0" borderId="0" xfId="0" applyNumberFormat="1"/>
    <xf numFmtId="166" fontId="0" fillId="0" borderId="0" xfId="2" applyNumberFormat="1" applyFont="1"/>
    <xf numFmtId="166" fontId="0" fillId="0" borderId="1" xfId="0" applyNumberFormat="1" applyBorder="1"/>
    <xf numFmtId="166" fontId="0" fillId="0" borderId="2" xfId="0" applyNumberFormat="1" applyBorder="1"/>
    <xf numFmtId="166" fontId="0" fillId="0" borderId="3" xfId="0" applyNumberFormat="1" applyBorder="1"/>
    <xf numFmtId="166" fontId="0" fillId="0" borderId="31" xfId="0" applyNumberFormat="1" applyBorder="1"/>
    <xf numFmtId="166" fontId="3" fillId="0" borderId="0" xfId="0" applyNumberFormat="1" applyFont="1"/>
    <xf numFmtId="167" fontId="3" fillId="0" borderId="0" xfId="0" applyNumberFormat="1" applyFont="1"/>
    <xf numFmtId="167" fontId="3" fillId="3" borderId="0" xfId="0" applyNumberFormat="1" applyFont="1" applyFill="1"/>
    <xf numFmtId="167" fontId="3" fillId="0" borderId="5" xfId="0" applyNumberFormat="1" applyFont="1" applyBorder="1"/>
    <xf numFmtId="167" fontId="3" fillId="0" borderId="0" xfId="0" quotePrefix="1" applyNumberFormat="1" applyFont="1" applyAlignment="1">
      <alignment horizontal="right"/>
    </xf>
    <xf numFmtId="167" fontId="3" fillId="0" borderId="4" xfId="0" applyNumberFormat="1" applyFont="1" applyBorder="1"/>
    <xf numFmtId="167" fontId="3" fillId="0" borderId="3" xfId="0" applyNumberFormat="1" applyFont="1" applyBorder="1"/>
    <xf numFmtId="166" fontId="4" fillId="0" borderId="0" xfId="0" applyNumberFormat="1" applyFont="1"/>
    <xf numFmtId="167" fontId="4" fillId="0" borderId="0" xfId="0" applyNumberFormat="1" applyFont="1"/>
    <xf numFmtId="41" fontId="4" fillId="0" borderId="0" xfId="1" applyNumberFormat="1" applyFont="1"/>
    <xf numFmtId="166" fontId="0" fillId="0" borderId="0" xfId="0" applyNumberFormat="1" applyAlignment="1">
      <alignment horizontal="right"/>
    </xf>
    <xf numFmtId="166" fontId="0" fillId="0" borderId="0" xfId="0" applyNumberFormat="1" applyAlignment="1">
      <alignment horizontal="center"/>
    </xf>
    <xf numFmtId="166" fontId="0" fillId="0" borderId="0" xfId="0" quotePrefix="1" applyNumberFormat="1" applyAlignment="1">
      <alignment horizontal="right"/>
    </xf>
    <xf numFmtId="166" fontId="0" fillId="0" borderId="5" xfId="0" applyNumberFormat="1" applyBorder="1" applyAlignment="1">
      <alignment horizontal="right"/>
    </xf>
    <xf numFmtId="166" fontId="0" fillId="0" borderId="5" xfId="0" applyNumberFormat="1" applyBorder="1" applyAlignment="1">
      <alignment horizontal="center"/>
    </xf>
    <xf numFmtId="166" fontId="0" fillId="2" borderId="0" xfId="0" applyNumberFormat="1" applyFill="1"/>
    <xf numFmtId="166" fontId="0" fillId="0" borderId="5" xfId="0" applyNumberFormat="1" applyBorder="1"/>
    <xf numFmtId="41" fontId="4" fillId="0" borderId="0" xfId="0" applyNumberFormat="1" applyFont="1"/>
    <xf numFmtId="41" fontId="4" fillId="0" borderId="36" xfId="0" applyNumberFormat="1" applyFont="1" applyBorder="1"/>
    <xf numFmtId="43" fontId="4" fillId="0" borderId="1" xfId="0" applyNumberFormat="1" applyFont="1" applyBorder="1"/>
    <xf numFmtId="43" fontId="4" fillId="0" borderId="34" xfId="0" applyNumberFormat="1" applyFont="1" applyBorder="1"/>
    <xf numFmtId="43" fontId="4" fillId="0" borderId="36" xfId="0" applyNumberFormat="1" applyFont="1" applyBorder="1"/>
    <xf numFmtId="2" fontId="4" fillId="0" borderId="33" xfId="0" applyNumberFormat="1" applyFont="1" applyBorder="1" applyAlignment="1">
      <alignment horizontal="center"/>
    </xf>
    <xf numFmtId="9" fontId="4" fillId="0" borderId="0" xfId="0" applyNumberFormat="1" applyFont="1"/>
    <xf numFmtId="0" fontId="5" fillId="0" borderId="0" xfId="0" applyFont="1"/>
    <xf numFmtId="17" fontId="0" fillId="0" borderId="1" xfId="0" applyNumberFormat="1" applyBorder="1"/>
    <xf numFmtId="11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20</xdr:row>
      <xdr:rowOff>30480</xdr:rowOff>
    </xdr:from>
    <xdr:to>
      <xdr:col>0</xdr:col>
      <xdr:colOff>137160</xdr:colOff>
      <xdr:row>20</xdr:row>
      <xdr:rowOff>152400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E0DB3959-D8A7-58D1-CE5F-A2AC806EDD71}"/>
            </a:ext>
          </a:extLst>
        </xdr:cNvPr>
        <xdr:cNvSpPr/>
      </xdr:nvSpPr>
      <xdr:spPr>
        <a:xfrm>
          <a:off x="38100" y="3688080"/>
          <a:ext cx="99060" cy="121920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195C9-D7A2-4070-9F6A-57A33383F639}">
  <dimension ref="B2:H37"/>
  <sheetViews>
    <sheetView showGridLines="0" topLeftCell="A25" workbookViewId="0">
      <selection activeCell="M27" sqref="M27"/>
    </sheetView>
  </sheetViews>
  <sheetFormatPr defaultRowHeight="14.4" x14ac:dyDescent="0.3"/>
  <sheetData>
    <row r="2" spans="2:6" ht="18" x14ac:dyDescent="0.35">
      <c r="B2" s="150" t="s">
        <v>205</v>
      </c>
      <c r="C2" s="150"/>
      <c r="D2" s="150"/>
      <c r="E2" s="150"/>
    </row>
    <row r="4" spans="2:6" x14ac:dyDescent="0.3">
      <c r="B4" s="55" t="s">
        <v>206</v>
      </c>
      <c r="C4" s="56"/>
      <c r="D4" s="151">
        <v>46174</v>
      </c>
      <c r="E4" s="56"/>
      <c r="F4" s="57"/>
    </row>
    <row r="5" spans="2:6" x14ac:dyDescent="0.3">
      <c r="B5" s="58" t="s">
        <v>207</v>
      </c>
      <c r="D5" t="s">
        <v>211</v>
      </c>
      <c r="F5" s="89"/>
    </row>
    <row r="6" spans="2:6" x14ac:dyDescent="0.3">
      <c r="B6" s="58" t="s">
        <v>208</v>
      </c>
      <c r="D6" s="152" t="s">
        <v>212</v>
      </c>
      <c r="F6" s="89"/>
    </row>
    <row r="7" spans="2:6" x14ac:dyDescent="0.3">
      <c r="B7" s="58" t="s">
        <v>168</v>
      </c>
      <c r="D7" s="17">
        <v>9.9299999999999999E-2</v>
      </c>
      <c r="F7" s="89"/>
    </row>
    <row r="8" spans="2:6" x14ac:dyDescent="0.3">
      <c r="B8" s="58" t="s">
        <v>209</v>
      </c>
      <c r="D8" s="18">
        <v>0.03</v>
      </c>
      <c r="F8" s="89"/>
    </row>
    <row r="9" spans="2:6" x14ac:dyDescent="0.3">
      <c r="B9" s="58" t="s">
        <v>198</v>
      </c>
      <c r="D9">
        <v>121.29</v>
      </c>
      <c r="F9" s="89"/>
    </row>
    <row r="10" spans="2:6" x14ac:dyDescent="0.3">
      <c r="B10" s="58" t="s">
        <v>200</v>
      </c>
      <c r="D10">
        <v>298</v>
      </c>
      <c r="F10" s="89"/>
    </row>
    <row r="11" spans="2:6" x14ac:dyDescent="0.3">
      <c r="B11" s="60" t="s">
        <v>210</v>
      </c>
      <c r="C11" s="85"/>
      <c r="D11" s="68">
        <v>0.59</v>
      </c>
      <c r="E11" s="85"/>
      <c r="F11" s="105"/>
    </row>
    <row r="14" spans="2:6" ht="18" x14ac:dyDescent="0.35">
      <c r="C14" s="150" t="s">
        <v>213</v>
      </c>
    </row>
    <row r="16" spans="2:6" x14ac:dyDescent="0.3">
      <c r="B16" s="55" t="s">
        <v>214</v>
      </c>
      <c r="C16" s="56"/>
      <c r="D16" s="57"/>
    </row>
    <row r="17" spans="2:8" x14ac:dyDescent="0.3">
      <c r="B17" s="58" t="s">
        <v>215</v>
      </c>
      <c r="D17" s="89"/>
    </row>
    <row r="18" spans="2:8" x14ac:dyDescent="0.3">
      <c r="B18" s="58" t="s">
        <v>216</v>
      </c>
      <c r="D18" s="89"/>
    </row>
    <row r="19" spans="2:8" x14ac:dyDescent="0.3">
      <c r="B19" s="58" t="s">
        <v>217</v>
      </c>
      <c r="D19" s="89"/>
    </row>
    <row r="20" spans="2:8" x14ac:dyDescent="0.3">
      <c r="B20" s="60" t="s">
        <v>218</v>
      </c>
      <c r="C20" s="85"/>
      <c r="D20" s="105"/>
    </row>
    <row r="23" spans="2:8" ht="18" x14ac:dyDescent="0.35">
      <c r="B23" s="150" t="s">
        <v>219</v>
      </c>
      <c r="C23" s="150"/>
      <c r="D23" s="150"/>
      <c r="E23" s="150"/>
      <c r="F23" s="150"/>
      <c r="G23" s="150"/>
      <c r="H23" s="150"/>
    </row>
    <row r="25" spans="2:8" x14ac:dyDescent="0.3">
      <c r="B25" s="55" t="s">
        <v>169</v>
      </c>
      <c r="C25" s="57"/>
    </row>
    <row r="26" spans="2:8" x14ac:dyDescent="0.3">
      <c r="B26" s="58" t="s">
        <v>220</v>
      </c>
      <c r="C26" s="89"/>
    </row>
    <row r="27" spans="2:8" x14ac:dyDescent="0.3">
      <c r="B27" s="58" t="s">
        <v>221</v>
      </c>
      <c r="C27" s="89"/>
    </row>
    <row r="28" spans="2:8" x14ac:dyDescent="0.3">
      <c r="B28" s="58" t="s">
        <v>150</v>
      </c>
      <c r="C28" s="89"/>
    </row>
    <row r="29" spans="2:8" x14ac:dyDescent="0.3">
      <c r="B29" s="58" t="s">
        <v>222</v>
      </c>
      <c r="C29" s="89"/>
    </row>
    <row r="30" spans="2:8" x14ac:dyDescent="0.3">
      <c r="B30" s="60" t="s">
        <v>223</v>
      </c>
      <c r="C30" s="105"/>
    </row>
    <row r="32" spans="2:8" ht="18" x14ac:dyDescent="0.35">
      <c r="B32" s="150" t="s">
        <v>224</v>
      </c>
      <c r="C32" s="150"/>
    </row>
    <row r="34" spans="2:5" x14ac:dyDescent="0.3">
      <c r="B34" s="55" t="s">
        <v>225</v>
      </c>
      <c r="C34" s="56"/>
      <c r="D34" s="56"/>
      <c r="E34" s="57" t="s">
        <v>229</v>
      </c>
    </row>
    <row r="35" spans="2:5" x14ac:dyDescent="0.3">
      <c r="B35" s="58" t="s">
        <v>226</v>
      </c>
      <c r="E35" s="89" t="s">
        <v>229</v>
      </c>
    </row>
    <row r="36" spans="2:5" x14ac:dyDescent="0.3">
      <c r="B36" s="58" t="s">
        <v>227</v>
      </c>
      <c r="E36" s="89" t="s">
        <v>229</v>
      </c>
    </row>
    <row r="37" spans="2:5" x14ac:dyDescent="0.3">
      <c r="B37" s="60" t="s">
        <v>228</v>
      </c>
      <c r="C37" s="85"/>
      <c r="D37" s="85"/>
      <c r="E37" s="105" t="s">
        <v>229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A0AEE-B29E-407E-8E0A-5B2AFED18A5E}">
  <dimension ref="A1:P69"/>
  <sheetViews>
    <sheetView showGridLines="0" topLeftCell="A34" workbookViewId="0">
      <selection activeCell="S1" sqref="S1"/>
    </sheetView>
  </sheetViews>
  <sheetFormatPr defaultRowHeight="14.4" outlineLevelRow="1" x14ac:dyDescent="0.3"/>
  <cols>
    <col min="1" max="1" width="34.21875" bestFit="1" customWidth="1"/>
    <col min="3" max="3" width="11.33203125" bestFit="1" customWidth="1"/>
    <col min="4" max="4" width="9.88671875" bestFit="1" customWidth="1"/>
    <col min="5" max="5" width="11.33203125" bestFit="1" customWidth="1"/>
  </cols>
  <sheetData>
    <row r="1" spans="1:16" ht="15" thickBot="1" x14ac:dyDescent="0.35">
      <c r="C1" t="s">
        <v>112</v>
      </c>
      <c r="F1" t="s">
        <v>113</v>
      </c>
      <c r="I1" t="s">
        <v>114</v>
      </c>
    </row>
    <row r="2" spans="1:16" ht="15" thickBot="1" x14ac:dyDescent="0.35">
      <c r="A2" s="42" t="s">
        <v>121</v>
      </c>
      <c r="B2" s="33" t="s">
        <v>118</v>
      </c>
      <c r="C2" s="34" t="s">
        <v>119</v>
      </c>
      <c r="D2" s="35" t="s">
        <v>120</v>
      </c>
      <c r="E2" s="36" t="s">
        <v>118</v>
      </c>
      <c r="F2" s="37" t="s">
        <v>119</v>
      </c>
      <c r="G2" s="38" t="s">
        <v>120</v>
      </c>
      <c r="H2" s="39" t="s">
        <v>118</v>
      </c>
      <c r="I2" s="40" t="s">
        <v>119</v>
      </c>
      <c r="J2" s="41" t="s">
        <v>120</v>
      </c>
    </row>
    <row r="3" spans="1:16" x14ac:dyDescent="0.3">
      <c r="B3" s="19"/>
      <c r="E3" s="22"/>
      <c r="H3" s="26"/>
      <c r="J3" s="27"/>
    </row>
    <row r="4" spans="1:16" x14ac:dyDescent="0.3">
      <c r="A4" t="s">
        <v>107</v>
      </c>
      <c r="B4" s="19">
        <v>0.03</v>
      </c>
      <c r="C4" s="18">
        <v>0.06</v>
      </c>
      <c r="D4" s="18">
        <v>0.09</v>
      </c>
      <c r="E4" s="23">
        <v>0.02</v>
      </c>
      <c r="F4" s="18">
        <v>7.0000000000000007E-2</v>
      </c>
      <c r="G4" s="18">
        <v>0.1</v>
      </c>
      <c r="H4" s="28">
        <v>0.02</v>
      </c>
      <c r="I4" s="18">
        <v>0.05</v>
      </c>
      <c r="J4" s="29">
        <v>0.08</v>
      </c>
    </row>
    <row r="5" spans="1:16" x14ac:dyDescent="0.3">
      <c r="A5" t="s">
        <v>108</v>
      </c>
      <c r="B5" s="19">
        <v>0.02</v>
      </c>
      <c r="C5" s="18">
        <v>0.05</v>
      </c>
      <c r="D5" s="18">
        <v>0.08</v>
      </c>
      <c r="E5" s="23">
        <v>0.02</v>
      </c>
      <c r="F5" s="18">
        <v>0.06</v>
      </c>
      <c r="G5" s="18">
        <v>0.09</v>
      </c>
      <c r="H5" s="28">
        <v>0.01</v>
      </c>
      <c r="I5" s="18">
        <v>0.04</v>
      </c>
      <c r="J5" s="29">
        <v>7.0000000000000007E-2</v>
      </c>
    </row>
    <row r="6" spans="1:16" x14ac:dyDescent="0.3">
      <c r="A6" t="s">
        <v>109</v>
      </c>
      <c r="B6" s="19">
        <v>0.01</v>
      </c>
      <c r="C6" s="18">
        <v>0.02</v>
      </c>
      <c r="D6" s="18">
        <v>0.03</v>
      </c>
      <c r="E6" s="23">
        <v>0</v>
      </c>
      <c r="F6" s="18">
        <v>0.04</v>
      </c>
      <c r="G6" s="18">
        <v>7.0000000000000007E-2</v>
      </c>
      <c r="H6" s="28">
        <v>0</v>
      </c>
      <c r="I6" s="18">
        <v>0.03</v>
      </c>
      <c r="J6" s="29">
        <v>0.05</v>
      </c>
    </row>
    <row r="7" spans="1:16" x14ac:dyDescent="0.3">
      <c r="A7" t="s">
        <v>117</v>
      </c>
      <c r="B7" s="19">
        <v>-0.01</v>
      </c>
      <c r="C7" s="18">
        <v>0.02</v>
      </c>
      <c r="D7" s="18">
        <v>0.05</v>
      </c>
      <c r="E7" s="23">
        <v>0</v>
      </c>
      <c r="F7" s="18">
        <v>0.04</v>
      </c>
      <c r="G7" s="18">
        <v>7.0000000000000007E-2</v>
      </c>
      <c r="H7" s="28">
        <v>0</v>
      </c>
      <c r="I7" s="18">
        <v>0.03</v>
      </c>
      <c r="J7" s="29">
        <v>0.05</v>
      </c>
    </row>
    <row r="8" spans="1:16" ht="15" thickBot="1" x14ac:dyDescent="0.35">
      <c r="A8" s="43" t="s">
        <v>1</v>
      </c>
      <c r="B8" s="20">
        <v>0.08</v>
      </c>
      <c r="C8" s="21">
        <v>0.11</v>
      </c>
      <c r="D8" s="21">
        <v>0.14000000000000001</v>
      </c>
      <c r="E8" s="24">
        <v>7.0000000000000007E-2</v>
      </c>
      <c r="F8" s="25">
        <v>0.12</v>
      </c>
      <c r="G8" s="25">
        <v>0.15</v>
      </c>
      <c r="H8" s="30">
        <v>0.06</v>
      </c>
      <c r="I8" s="31">
        <v>0.1</v>
      </c>
      <c r="J8" s="32">
        <v>0.13</v>
      </c>
    </row>
    <row r="11" spans="1:16" x14ac:dyDescent="0.3">
      <c r="A11" s="107" t="s">
        <v>17</v>
      </c>
      <c r="B11" s="83" t="s">
        <v>112</v>
      </c>
      <c r="C11" s="83" t="s">
        <v>113</v>
      </c>
      <c r="D11" s="84" t="s">
        <v>114</v>
      </c>
    </row>
    <row r="12" spans="1:16" outlineLevel="1" x14ac:dyDescent="0.3">
      <c r="A12" s="58" t="s">
        <v>123</v>
      </c>
      <c r="B12" s="17">
        <v>0.36799999999999999</v>
      </c>
      <c r="C12" s="18">
        <v>0.37</v>
      </c>
      <c r="D12" s="59">
        <v>0.372</v>
      </c>
    </row>
    <row r="13" spans="1:16" outlineLevel="1" x14ac:dyDescent="0.3">
      <c r="A13" s="60" t="s">
        <v>124</v>
      </c>
      <c r="B13" s="61">
        <v>0.755</v>
      </c>
      <c r="C13" s="61">
        <v>0.75800000000000001</v>
      </c>
      <c r="D13" s="62">
        <v>0.76</v>
      </c>
    </row>
    <row r="14" spans="1:16" x14ac:dyDescent="0.3">
      <c r="B14" s="17"/>
      <c r="C14" s="17"/>
      <c r="D14" s="17"/>
    </row>
    <row r="15" spans="1:16" x14ac:dyDescent="0.3">
      <c r="B15" s="17"/>
      <c r="C15" s="17"/>
      <c r="D15" s="17"/>
    </row>
    <row r="16" spans="1:16" x14ac:dyDescent="0.3">
      <c r="A16" s="107" t="s">
        <v>127</v>
      </c>
      <c r="B16" s="83" t="s">
        <v>112</v>
      </c>
      <c r="C16" s="83" t="s">
        <v>113</v>
      </c>
      <c r="D16" s="84" t="s">
        <v>114</v>
      </c>
      <c r="N16" s="17"/>
      <c r="O16" s="17"/>
      <c r="P16" s="17"/>
    </row>
    <row r="17" spans="1:16" outlineLevel="1" x14ac:dyDescent="0.3">
      <c r="A17" s="58" t="s">
        <v>125</v>
      </c>
      <c r="B17" s="17">
        <v>8.5000000000000006E-2</v>
      </c>
      <c r="C17" s="17">
        <v>8.8999999999999996E-2</v>
      </c>
      <c r="D17" s="59">
        <v>9.1999999999999998E-2</v>
      </c>
      <c r="N17" s="17"/>
      <c r="O17" s="17"/>
      <c r="P17" s="17"/>
    </row>
    <row r="18" spans="1:16" outlineLevel="1" x14ac:dyDescent="0.3">
      <c r="A18" s="60" t="s">
        <v>126</v>
      </c>
      <c r="B18" s="61">
        <v>6.6000000000000003E-2</v>
      </c>
      <c r="C18" s="61">
        <v>6.5000000000000002E-2</v>
      </c>
      <c r="D18" s="63">
        <v>6.4000000000000001E-2</v>
      </c>
      <c r="N18" s="17"/>
      <c r="O18" s="17"/>
      <c r="P18" s="17"/>
    </row>
    <row r="19" spans="1:16" x14ac:dyDescent="0.3">
      <c r="N19" s="48"/>
    </row>
    <row r="20" spans="1:16" x14ac:dyDescent="0.3">
      <c r="B20" s="17"/>
      <c r="C20" s="17"/>
      <c r="D20" s="17"/>
      <c r="N20" s="48"/>
    </row>
    <row r="21" spans="1:16" x14ac:dyDescent="0.3">
      <c r="A21" s="64"/>
      <c r="B21" s="65" t="s">
        <v>128</v>
      </c>
      <c r="C21" s="65" t="s">
        <v>129</v>
      </c>
      <c r="D21" s="66" t="s">
        <v>130</v>
      </c>
      <c r="N21" s="48"/>
    </row>
    <row r="22" spans="1:16" x14ac:dyDescent="0.3">
      <c r="A22" s="67" t="s">
        <v>3</v>
      </c>
      <c r="B22" s="17">
        <v>-8.0000000000000004E-4</v>
      </c>
      <c r="C22" s="17">
        <v>-8.0000000000000004E-4</v>
      </c>
      <c r="D22" s="59">
        <v>-8.0000000000000004E-4</v>
      </c>
    </row>
    <row r="23" spans="1:16" x14ac:dyDescent="0.3">
      <c r="A23" s="60" t="s">
        <v>131</v>
      </c>
      <c r="B23" s="68">
        <v>0.16</v>
      </c>
      <c r="C23" s="68">
        <v>0.16</v>
      </c>
      <c r="D23" s="62">
        <v>0.16</v>
      </c>
    </row>
    <row r="26" spans="1:16" x14ac:dyDescent="0.3">
      <c r="A26" s="107" t="s">
        <v>132</v>
      </c>
      <c r="B26" s="83" t="s">
        <v>112</v>
      </c>
      <c r="C26" s="83" t="s">
        <v>113</v>
      </c>
      <c r="D26" s="84" t="s">
        <v>114</v>
      </c>
    </row>
    <row r="27" spans="1:16" outlineLevel="1" x14ac:dyDescent="0.3">
      <c r="A27" s="58" t="s">
        <v>133</v>
      </c>
      <c r="B27" s="17">
        <v>9.5000000000000001E-2</v>
      </c>
      <c r="C27" s="17">
        <v>9.5000000000000001E-2</v>
      </c>
      <c r="D27" s="59">
        <v>9.4E-2</v>
      </c>
    </row>
    <row r="28" spans="1:16" outlineLevel="1" x14ac:dyDescent="0.3">
      <c r="A28" s="58" t="s">
        <v>134</v>
      </c>
      <c r="B28" s="18">
        <v>0.08</v>
      </c>
      <c r="C28" s="18">
        <v>0.08</v>
      </c>
      <c r="D28" s="69">
        <v>0.08</v>
      </c>
    </row>
    <row r="29" spans="1:16" outlineLevel="1" x14ac:dyDescent="0.3">
      <c r="A29" s="58" t="s">
        <v>135</v>
      </c>
      <c r="B29" s="17">
        <v>1.7999999999999999E-2</v>
      </c>
      <c r="C29" s="17">
        <v>1.7000000000000001E-2</v>
      </c>
      <c r="D29" s="59">
        <v>1.7000000000000001E-2</v>
      </c>
    </row>
    <row r="30" spans="1:16" outlineLevel="1" x14ac:dyDescent="0.3">
      <c r="A30" s="58" t="s">
        <v>136</v>
      </c>
      <c r="B30" s="18">
        <v>0.31</v>
      </c>
      <c r="C30" s="18">
        <v>0.31</v>
      </c>
      <c r="D30" s="69">
        <v>0.31</v>
      </c>
    </row>
    <row r="31" spans="1:16" outlineLevel="1" x14ac:dyDescent="0.3">
      <c r="A31" s="60" t="s">
        <v>137</v>
      </c>
      <c r="B31" s="68">
        <v>0.08</v>
      </c>
      <c r="C31" s="68">
        <v>0.08</v>
      </c>
      <c r="D31" s="62">
        <v>0.08</v>
      </c>
    </row>
    <row r="34" spans="1:5" x14ac:dyDescent="0.3">
      <c r="A34" s="82"/>
      <c r="B34" s="83"/>
      <c r="C34" s="83" t="s">
        <v>112</v>
      </c>
      <c r="D34" s="83" t="s">
        <v>113</v>
      </c>
      <c r="E34" s="84" t="s">
        <v>114</v>
      </c>
    </row>
    <row r="35" spans="1:5" x14ac:dyDescent="0.3">
      <c r="A35" s="58"/>
      <c r="B35" s="70"/>
      <c r="C35" s="71"/>
      <c r="D35" s="71"/>
      <c r="E35" s="72"/>
    </row>
    <row r="36" spans="1:5" x14ac:dyDescent="0.3">
      <c r="A36" s="58" t="s">
        <v>139</v>
      </c>
      <c r="B36" s="71">
        <v>0.03</v>
      </c>
      <c r="C36" s="73">
        <v>3.5000000000000003E-2</v>
      </c>
      <c r="D36" s="73">
        <v>3.6999999999999998E-2</v>
      </c>
      <c r="E36" s="74">
        <v>0.04</v>
      </c>
    </row>
    <row r="37" spans="1:5" x14ac:dyDescent="0.3">
      <c r="A37" s="60" t="s">
        <v>140</v>
      </c>
      <c r="B37" s="75">
        <f>'Cash Flow'!D9/'Income Statement'!D7</f>
        <v>2.8109313462818475E-2</v>
      </c>
      <c r="C37" s="75">
        <v>0.03</v>
      </c>
      <c r="D37" s="75">
        <v>0.03</v>
      </c>
      <c r="E37" s="76">
        <v>0.03</v>
      </c>
    </row>
    <row r="39" spans="1:5" x14ac:dyDescent="0.3">
      <c r="A39" s="107" t="s">
        <v>141</v>
      </c>
      <c r="B39" s="83" t="s">
        <v>111</v>
      </c>
      <c r="C39" s="83" t="s">
        <v>112</v>
      </c>
      <c r="D39" s="83" t="s">
        <v>113</v>
      </c>
      <c r="E39" s="84" t="s">
        <v>114</v>
      </c>
    </row>
    <row r="40" spans="1:5" outlineLevel="1" x14ac:dyDescent="0.3">
      <c r="A40" s="58" t="s">
        <v>142</v>
      </c>
      <c r="B40" s="11">
        <f>'Balance Sheet'!C15</f>
        <v>49834</v>
      </c>
      <c r="C40" s="11">
        <f>B43</f>
        <v>49834</v>
      </c>
      <c r="D40" s="44">
        <f>C43</f>
        <v>52052.515599999999</v>
      </c>
      <c r="E40" s="77">
        <f>D43</f>
        <v>55402.135846000005</v>
      </c>
    </row>
    <row r="41" spans="1:5" outlineLevel="1" x14ac:dyDescent="0.3">
      <c r="A41" s="58" t="s">
        <v>139</v>
      </c>
      <c r="B41" s="11">
        <v>12484</v>
      </c>
      <c r="C41" s="44">
        <f>'Income Statement'!E7*Assumptions!C36</f>
        <v>15529.609200000001</v>
      </c>
      <c r="D41" s="44">
        <f>'Income Statement'!F7*Assumptions!D36</f>
        <v>17705.135586</v>
      </c>
      <c r="E41" s="77">
        <f>'Income Statement'!G7*Assumptions!E36</f>
        <v>20300.059119840003</v>
      </c>
    </row>
    <row r="42" spans="1:5" outlineLevel="1" x14ac:dyDescent="0.3">
      <c r="A42" s="58" t="s">
        <v>143</v>
      </c>
      <c r="B42" s="11">
        <v>12484</v>
      </c>
      <c r="C42" s="44">
        <f>'Income Statement'!E7*Assumptions!C37</f>
        <v>13311.0936</v>
      </c>
      <c r="D42" s="44">
        <f>'Income Statement'!F7*Assumptions!D37</f>
        <v>14355.515340000002</v>
      </c>
      <c r="E42" s="77">
        <f>'Income Statement'!G7*Assumptions!E37</f>
        <v>15225.044339880002</v>
      </c>
    </row>
    <row r="43" spans="1:5" outlineLevel="1" x14ac:dyDescent="0.3">
      <c r="A43" s="60" t="s">
        <v>144</v>
      </c>
      <c r="B43" s="13">
        <f>B40+B41-B42</f>
        <v>49834</v>
      </c>
      <c r="C43" s="78">
        <f>C40+C41-C42</f>
        <v>52052.515599999999</v>
      </c>
      <c r="D43" s="78">
        <f>D40+D41-D42</f>
        <v>55402.135846000005</v>
      </c>
      <c r="E43" s="79">
        <f>E40+E41-E42</f>
        <v>60477.150625960014</v>
      </c>
    </row>
    <row r="44" spans="1:5" x14ac:dyDescent="0.3">
      <c r="B44" t="s">
        <v>111</v>
      </c>
      <c r="C44" t="s">
        <v>112</v>
      </c>
      <c r="D44" t="s">
        <v>113</v>
      </c>
      <c r="E44" t="s">
        <v>114</v>
      </c>
    </row>
    <row r="45" spans="1:5" x14ac:dyDescent="0.3">
      <c r="A45" s="55" t="s">
        <v>145</v>
      </c>
      <c r="B45" s="49">
        <f>'Balance Sheet'!B40</f>
        <v>56950</v>
      </c>
      <c r="C45" s="49">
        <f>'Balance Sheet'!C40</f>
        <v>73733</v>
      </c>
      <c r="D45" s="52">
        <f>C49</f>
        <v>85729.847794736008</v>
      </c>
      <c r="E45" s="80">
        <f>D49</f>
        <v>97495.515427159044</v>
      </c>
    </row>
    <row r="46" spans="1:5" outlineLevel="1" x14ac:dyDescent="0.3">
      <c r="A46" s="58" t="s">
        <v>24</v>
      </c>
      <c r="B46">
        <v>112010</v>
      </c>
      <c r="C46" s="11">
        <f>'Income Statement'!E24</f>
        <v>119968.47794735999</v>
      </c>
      <c r="D46" s="11">
        <f>'Income Statement'!F24</f>
        <v>130729.64036025602</v>
      </c>
      <c r="E46" s="81">
        <f>'Income Statement'!G24</f>
        <v>140391.97901468814</v>
      </c>
    </row>
    <row r="47" spans="1:5" outlineLevel="1" x14ac:dyDescent="0.3">
      <c r="A47" s="58" t="s">
        <v>146</v>
      </c>
      <c r="B47">
        <v>15421</v>
      </c>
      <c r="C47" s="44">
        <f>'Income Statement'!E24*Assumptions!C58</f>
        <v>17995.271692103997</v>
      </c>
      <c r="D47" s="44">
        <f>'Income Statement'!F24*Assumptions!D58</f>
        <v>20916.742457640965</v>
      </c>
      <c r="E47" s="77">
        <f>'Income Statement'!G24*Assumptions!E58</f>
        <v>22462.716642350104</v>
      </c>
    </row>
    <row r="48" spans="1:5" outlineLevel="1" x14ac:dyDescent="0.3">
      <c r="A48" s="58" t="s">
        <v>147</v>
      </c>
      <c r="B48">
        <v>90711</v>
      </c>
      <c r="C48" s="44">
        <f>'Cash Flow'!E7*Assumptions!C56</f>
        <v>89976.358460519987</v>
      </c>
      <c r="D48" s="44">
        <f>'Cash Flow'!F7*Assumptions!D56</f>
        <v>98047.230270192013</v>
      </c>
      <c r="E48" s="77">
        <f>'Cash Flow'!G7*Assumptions!E56</f>
        <v>105293.9842610161</v>
      </c>
    </row>
    <row r="49" spans="1:9" x14ac:dyDescent="0.3">
      <c r="A49" s="108" t="s">
        <v>148</v>
      </c>
      <c r="B49" s="13">
        <f>B45+B46-B47-B48</f>
        <v>62828</v>
      </c>
      <c r="C49" s="78">
        <f>C45+C46-C47-C48</f>
        <v>85729.847794736008</v>
      </c>
      <c r="D49" s="78">
        <f>D45+D46-D47-D48</f>
        <v>97495.515427159044</v>
      </c>
      <c r="E49" s="79">
        <f>E45+E46-E47-E48</f>
        <v>110130.793538481</v>
      </c>
    </row>
    <row r="50" spans="1:9" x14ac:dyDescent="0.3">
      <c r="B50" s="11"/>
      <c r="C50" s="11"/>
      <c r="D50" s="44"/>
      <c r="E50" s="44"/>
    </row>
    <row r="51" spans="1:9" x14ac:dyDescent="0.3">
      <c r="C51" s="11"/>
      <c r="D51" s="11"/>
      <c r="E51" s="11"/>
    </row>
    <row r="53" spans="1:9" x14ac:dyDescent="0.3">
      <c r="B53" s="18"/>
      <c r="C53" s="18"/>
      <c r="D53" s="18"/>
    </row>
    <row r="54" spans="1:9" x14ac:dyDescent="0.3">
      <c r="A54" s="107" t="s">
        <v>150</v>
      </c>
      <c r="B54" s="116" t="s">
        <v>111</v>
      </c>
      <c r="C54" s="116" t="s">
        <v>112</v>
      </c>
      <c r="D54" s="116" t="s">
        <v>113</v>
      </c>
      <c r="E54" s="117" t="s">
        <v>114</v>
      </c>
    </row>
    <row r="55" spans="1:9" x14ac:dyDescent="0.3">
      <c r="A55" s="58" t="s">
        <v>151</v>
      </c>
      <c r="B55" s="71">
        <f>'Cash Flow'!D10/'Income Statement'!D7</f>
        <v>3.0908710811440764E-2</v>
      </c>
      <c r="C55" s="71">
        <v>0.03</v>
      </c>
      <c r="D55" s="71">
        <v>0.03</v>
      </c>
      <c r="E55" s="72">
        <v>0.03</v>
      </c>
    </row>
    <row r="56" spans="1:9" x14ac:dyDescent="0.3">
      <c r="A56" s="58" t="s">
        <v>147</v>
      </c>
      <c r="B56" s="71">
        <v>0</v>
      </c>
      <c r="C56" s="71">
        <v>0.75</v>
      </c>
      <c r="D56" s="71">
        <v>0.75</v>
      </c>
      <c r="E56" s="72">
        <v>0.75</v>
      </c>
    </row>
    <row r="57" spans="1:9" x14ac:dyDescent="0.3">
      <c r="A57" s="58" t="s">
        <v>152</v>
      </c>
      <c r="B57" s="71">
        <v>-0.06</v>
      </c>
      <c r="C57" s="73">
        <v>-8.5999999999999993E-2</v>
      </c>
      <c r="D57" s="73">
        <v>-8.5999999999999993E-2</v>
      </c>
      <c r="E57" s="74">
        <v>-8.5999999999999993E-2</v>
      </c>
    </row>
    <row r="58" spans="1:9" x14ac:dyDescent="0.3">
      <c r="A58" s="60" t="s">
        <v>149</v>
      </c>
      <c r="B58" s="85">
        <v>0</v>
      </c>
      <c r="C58" s="68">
        <v>0.15</v>
      </c>
      <c r="D58" s="68">
        <v>0.16</v>
      </c>
      <c r="E58" s="62">
        <v>0.16</v>
      </c>
      <c r="I58" s="48"/>
    </row>
    <row r="59" spans="1:9" x14ac:dyDescent="0.3">
      <c r="B59" s="48"/>
      <c r="C59" s="48"/>
      <c r="D59" s="48"/>
      <c r="E59" s="48"/>
    </row>
    <row r="60" spans="1:9" x14ac:dyDescent="0.3">
      <c r="B60" s="48"/>
      <c r="C60" s="48"/>
      <c r="D60" s="48"/>
      <c r="E60" s="51"/>
    </row>
    <row r="61" spans="1:9" x14ac:dyDescent="0.3">
      <c r="B61" s="48"/>
      <c r="C61" s="51"/>
      <c r="D61" s="51"/>
    </row>
    <row r="68" spans="2:5" x14ac:dyDescent="0.3">
      <c r="B68" s="48"/>
      <c r="C68" s="48"/>
      <c r="D68" s="48"/>
      <c r="E68" s="48"/>
    </row>
    <row r="69" spans="2:5" x14ac:dyDescent="0.3">
      <c r="B69" s="48"/>
      <c r="C69" s="48"/>
      <c r="D69" s="48"/>
      <c r="E69" s="4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8114D-CDBE-4203-A79C-4CDBE70C6756}">
  <dimension ref="A1:P55"/>
  <sheetViews>
    <sheetView showGridLines="0" workbookViewId="0">
      <selection activeCell="E29" sqref="E29"/>
    </sheetView>
  </sheetViews>
  <sheetFormatPr defaultRowHeight="14.4" x14ac:dyDescent="0.3"/>
  <cols>
    <col min="1" max="1" width="38" bestFit="1" customWidth="1"/>
    <col min="2" max="2" width="11.33203125" bestFit="1" customWidth="1"/>
    <col min="3" max="4" width="11.21875" bestFit="1" customWidth="1"/>
    <col min="5" max="5" width="12" bestFit="1" customWidth="1"/>
    <col min="6" max="6" width="8.77734375" bestFit="1" customWidth="1"/>
    <col min="7" max="7" width="12" bestFit="1" customWidth="1"/>
  </cols>
  <sheetData>
    <row r="1" spans="1:16" x14ac:dyDescent="0.3">
      <c r="A1" s="2"/>
      <c r="B1" s="2" t="s">
        <v>11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1"/>
    </row>
    <row r="2" spans="1:16" x14ac:dyDescent="0.3">
      <c r="A2" s="2"/>
      <c r="B2" s="2"/>
      <c r="C2" s="2" t="s">
        <v>12</v>
      </c>
      <c r="D2" s="2"/>
      <c r="E2" s="2"/>
      <c r="F2" s="2"/>
      <c r="G2" s="2"/>
      <c r="H2" s="2"/>
      <c r="I2" s="2"/>
      <c r="J2" s="2"/>
      <c r="K2" s="2"/>
      <c r="L2" s="2"/>
      <c r="M2" s="2"/>
      <c r="N2" s="1"/>
    </row>
    <row r="3" spans="1:16" x14ac:dyDescent="0.3">
      <c r="A3" s="2"/>
      <c r="B3" s="7" t="s">
        <v>122</v>
      </c>
      <c r="C3" s="7" t="s">
        <v>116</v>
      </c>
      <c r="D3" s="7" t="s">
        <v>111</v>
      </c>
      <c r="E3" s="8" t="s">
        <v>112</v>
      </c>
      <c r="F3" s="8" t="s">
        <v>113</v>
      </c>
      <c r="G3" s="8" t="s">
        <v>114</v>
      </c>
      <c r="H3" s="2"/>
      <c r="I3" s="2"/>
      <c r="J3" s="2"/>
      <c r="K3" s="2"/>
      <c r="L3" s="2"/>
      <c r="M3" s="2"/>
      <c r="N3" s="1"/>
    </row>
    <row r="4" spans="1:16" x14ac:dyDescent="0.3">
      <c r="A4" s="2" t="s">
        <v>9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1"/>
    </row>
    <row r="5" spans="1:16" x14ac:dyDescent="0.3">
      <c r="A5" s="2" t="s">
        <v>13</v>
      </c>
      <c r="B5" s="2">
        <v>298085</v>
      </c>
      <c r="C5" s="2">
        <v>294866</v>
      </c>
      <c r="D5" s="2">
        <v>307003</v>
      </c>
      <c r="E5" s="2">
        <f>'Operating Statistics'!E40+'Operating Statistics'!E41+'Operating Statistics'!E42+'Operating Statistics'!E43</f>
        <v>322537.74</v>
      </c>
      <c r="F5" s="2">
        <f>'Operating Statistics'!F40+'Operating Statistics'!F41+'Operating Statistics'!F42+'Operating Statistics'!F43</f>
        <v>342811.95240000007</v>
      </c>
      <c r="G5" s="2">
        <f>'Operating Statistics'!G40+'Operating Statistics'!G41+'Operating Statistics'!G42+'Operating Statistics'!G43</f>
        <v>358225.72983600007</v>
      </c>
      <c r="H5" s="2"/>
      <c r="I5" s="2"/>
      <c r="J5" s="2"/>
      <c r="K5" s="2"/>
      <c r="L5" s="2"/>
      <c r="M5" s="2"/>
      <c r="N5" s="1"/>
    </row>
    <row r="6" spans="1:16" x14ac:dyDescent="0.3">
      <c r="A6" s="2" t="s">
        <v>1</v>
      </c>
      <c r="B6" s="2">
        <v>85200</v>
      </c>
      <c r="C6" s="2">
        <v>96169</v>
      </c>
      <c r="D6" s="2">
        <v>109158</v>
      </c>
      <c r="E6" s="135">
        <f>'Operating Statistics'!E44</f>
        <v>121165.38</v>
      </c>
      <c r="F6" s="135">
        <f>'Operating Statistics'!F44</f>
        <v>135705.22560000001</v>
      </c>
      <c r="G6" s="135">
        <f>'Operating Statistics'!G44</f>
        <v>149275.74816000002</v>
      </c>
      <c r="H6" s="2"/>
      <c r="I6" s="2"/>
      <c r="J6" s="2"/>
      <c r="K6" s="2"/>
      <c r="L6" s="2"/>
      <c r="M6" s="2"/>
      <c r="N6" s="1"/>
    </row>
    <row r="7" spans="1:16" x14ac:dyDescent="0.3">
      <c r="A7" s="8" t="s">
        <v>10</v>
      </c>
      <c r="B7" s="4">
        <v>383285</v>
      </c>
      <c r="C7" s="4">
        <v>391035</v>
      </c>
      <c r="D7" s="4">
        <v>416161</v>
      </c>
      <c r="E7" s="4">
        <f>E5+E6</f>
        <v>443703.12</v>
      </c>
      <c r="F7" s="4">
        <f>F5+F6</f>
        <v>478517.17800000007</v>
      </c>
      <c r="G7" s="4">
        <f>G5+G6</f>
        <v>507501.47799600009</v>
      </c>
      <c r="H7" s="2"/>
      <c r="I7" s="2"/>
      <c r="J7" s="2"/>
      <c r="K7" s="2"/>
      <c r="L7" s="2"/>
      <c r="M7" s="2"/>
      <c r="N7" s="1"/>
    </row>
    <row r="8" spans="1:16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1"/>
    </row>
    <row r="9" spans="1:16" x14ac:dyDescent="0.3">
      <c r="A9" s="2" t="s">
        <v>15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1"/>
    </row>
    <row r="10" spans="1:16" x14ac:dyDescent="0.3">
      <c r="A10" s="2" t="s">
        <v>0</v>
      </c>
      <c r="B10" s="2">
        <v>189282</v>
      </c>
      <c r="C10" s="2">
        <v>185233</v>
      </c>
      <c r="D10" s="2">
        <v>194116</v>
      </c>
      <c r="E10" s="2">
        <f>E5*(1-Assumptions!B12)</f>
        <v>203843.85167999999</v>
      </c>
      <c r="F10" s="2">
        <f>F5*(1-Assumptions!C12)</f>
        <v>215971.53001200003</v>
      </c>
      <c r="G10" s="2">
        <f>G5*(1-Assumptions!D12)</f>
        <v>224965.75833700804</v>
      </c>
      <c r="H10" s="2"/>
      <c r="I10" s="2"/>
      <c r="J10" s="2"/>
      <c r="K10" s="2"/>
      <c r="L10" s="2"/>
      <c r="M10" s="2"/>
      <c r="N10" s="1"/>
    </row>
    <row r="11" spans="1:16" x14ac:dyDescent="0.3">
      <c r="A11" s="2" t="s">
        <v>1</v>
      </c>
      <c r="B11" s="2">
        <v>24855</v>
      </c>
      <c r="C11" s="2">
        <v>25119</v>
      </c>
      <c r="D11" s="2">
        <v>26844</v>
      </c>
      <c r="E11" s="2">
        <f>E6*(1-Assumptions!B13)</f>
        <v>29685.518100000001</v>
      </c>
      <c r="F11" s="2">
        <f>F6*(1-Assumptions!C13)</f>
        <v>32840.664595200004</v>
      </c>
      <c r="G11" s="2">
        <f>G6*(1-Assumptions!D13)</f>
        <v>35826.179558399999</v>
      </c>
      <c r="H11" s="2"/>
      <c r="I11" s="2"/>
      <c r="J11" s="2"/>
      <c r="K11" s="2"/>
      <c r="L11" s="2"/>
      <c r="M11" s="2"/>
      <c r="N11" s="1"/>
    </row>
    <row r="12" spans="1:16" x14ac:dyDescent="0.3">
      <c r="A12" s="2" t="s">
        <v>16</v>
      </c>
      <c r="B12" s="5">
        <v>214137</v>
      </c>
      <c r="C12" s="5">
        <v>210352</v>
      </c>
      <c r="D12" s="5">
        <v>220960</v>
      </c>
      <c r="E12" s="5">
        <f>E10+E11</f>
        <v>233529.36978000001</v>
      </c>
      <c r="F12" s="5">
        <f t="shared" ref="F12:G12" si="0">F10+F11</f>
        <v>248812.19460720004</v>
      </c>
      <c r="G12" s="5">
        <f t="shared" si="0"/>
        <v>260791.93789540805</v>
      </c>
      <c r="H12" s="2"/>
      <c r="I12" s="2"/>
      <c r="J12" s="2"/>
      <c r="K12" s="2"/>
      <c r="L12" s="2"/>
      <c r="M12" s="2"/>
      <c r="N12" s="1"/>
    </row>
    <row r="13" spans="1:16" x14ac:dyDescent="0.3">
      <c r="A13" s="8" t="s">
        <v>17</v>
      </c>
      <c r="B13" s="5">
        <v>169148</v>
      </c>
      <c r="C13" s="5">
        <v>180683</v>
      </c>
      <c r="D13" s="5">
        <v>195201</v>
      </c>
      <c r="E13" s="5">
        <f>E7-E12</f>
        <v>210173.75021999999</v>
      </c>
      <c r="F13" s="5">
        <f t="shared" ref="F13:G13" si="1">F7-F12</f>
        <v>229704.98339280003</v>
      </c>
      <c r="G13" s="5">
        <f t="shared" si="1"/>
        <v>246709.54010059204</v>
      </c>
      <c r="H13" s="2"/>
      <c r="I13" s="2"/>
      <c r="J13" s="2"/>
      <c r="K13" s="2"/>
      <c r="L13" s="2"/>
      <c r="M13" s="2"/>
      <c r="N13" s="1"/>
    </row>
    <row r="14" spans="1:16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1"/>
      <c r="P14" s="2"/>
    </row>
    <row r="15" spans="1:16" x14ac:dyDescent="0.3">
      <c r="A15" s="2" t="s">
        <v>18</v>
      </c>
      <c r="B15" s="2"/>
      <c r="C15" s="2"/>
      <c r="D15" s="2"/>
      <c r="E15" s="2"/>
      <c r="F15" s="2"/>
      <c r="G15" s="2"/>
      <c r="H15" s="2"/>
      <c r="I15" s="2"/>
      <c r="J15" s="2"/>
      <c r="K15" s="2"/>
      <c r="M15" s="2"/>
      <c r="N15" s="1"/>
    </row>
    <row r="16" spans="1:16" x14ac:dyDescent="0.3">
      <c r="A16" s="2" t="s">
        <v>19</v>
      </c>
      <c r="B16" s="2">
        <v>29915</v>
      </c>
      <c r="C16" s="2">
        <v>31370</v>
      </c>
      <c r="D16" s="2">
        <v>34550</v>
      </c>
      <c r="E16" s="2">
        <f>'Income Statement'!E7*Assumptions!B17</f>
        <v>37714.765200000002</v>
      </c>
      <c r="F16" s="2">
        <f>F7*Assumptions!C17</f>
        <v>42588.028842000007</v>
      </c>
      <c r="G16" s="2">
        <f>G7*Assumptions!D17</f>
        <v>46690.135975632009</v>
      </c>
      <c r="H16" s="2"/>
      <c r="I16" s="2"/>
      <c r="J16" s="2"/>
      <c r="K16" s="2"/>
      <c r="L16" s="2"/>
      <c r="M16" s="2"/>
      <c r="N16" s="1"/>
    </row>
    <row r="17" spans="1:14" x14ac:dyDescent="0.3">
      <c r="A17" s="2" t="s">
        <v>2</v>
      </c>
      <c r="B17" s="2">
        <v>24932</v>
      </c>
      <c r="C17" s="2">
        <v>26097</v>
      </c>
      <c r="D17" s="2">
        <v>27601</v>
      </c>
      <c r="E17" s="2">
        <f>E7*Assumptions!B18</f>
        <v>29284.405920000001</v>
      </c>
      <c r="F17" s="2">
        <f>F7*Assumptions!C18</f>
        <v>31103.616570000006</v>
      </c>
      <c r="G17" s="2">
        <f>G7*Assumptions!D18</f>
        <v>32480.094591744008</v>
      </c>
      <c r="H17" s="2"/>
      <c r="I17" s="2"/>
      <c r="J17" s="2"/>
      <c r="K17" s="2"/>
      <c r="L17" s="2"/>
      <c r="M17" s="2"/>
      <c r="N17" s="1"/>
    </row>
    <row r="18" spans="1:14" x14ac:dyDescent="0.3">
      <c r="A18" s="8" t="s">
        <v>20</v>
      </c>
      <c r="B18" s="5">
        <v>54847</v>
      </c>
      <c r="C18" s="5">
        <v>57467</v>
      </c>
      <c r="D18" s="5">
        <v>62151</v>
      </c>
      <c r="E18" s="5">
        <f>E16+E17</f>
        <v>66999.171119999999</v>
      </c>
      <c r="F18" s="5">
        <f t="shared" ref="F18:G18" si="2">F16+F17</f>
        <v>73691.645412000013</v>
      </c>
      <c r="G18" s="5">
        <f t="shared" si="2"/>
        <v>79170.230567376013</v>
      </c>
      <c r="H18" s="2"/>
      <c r="I18" s="2"/>
      <c r="J18" s="2"/>
      <c r="K18" s="2"/>
      <c r="L18" s="2"/>
      <c r="M18" s="2"/>
      <c r="N18" s="1"/>
    </row>
    <row r="19" spans="1:14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1"/>
    </row>
    <row r="20" spans="1:14" x14ac:dyDescent="0.3">
      <c r="A20" s="2" t="s">
        <v>21</v>
      </c>
      <c r="B20" s="2">
        <v>114301</v>
      </c>
      <c r="C20" s="2">
        <v>123216</v>
      </c>
      <c r="D20" s="2">
        <v>133050</v>
      </c>
      <c r="E20" s="2">
        <f>E13-E18</f>
        <v>143174.57909999997</v>
      </c>
      <c r="F20" s="2">
        <f t="shared" ref="F20:G20" si="3">F13-F18</f>
        <v>156013.33798080002</v>
      </c>
      <c r="G20" s="2">
        <f t="shared" si="3"/>
        <v>167539.30953321603</v>
      </c>
      <c r="H20" s="2"/>
      <c r="I20" s="2"/>
      <c r="J20" s="2"/>
      <c r="K20" s="2"/>
      <c r="L20" s="2"/>
      <c r="M20" s="2"/>
      <c r="N20" s="1"/>
    </row>
    <row r="21" spans="1:14" x14ac:dyDescent="0.3">
      <c r="A21" s="2" t="s">
        <v>3</v>
      </c>
      <c r="B21" s="118">
        <v>-565</v>
      </c>
      <c r="C21" s="118">
        <v>269</v>
      </c>
      <c r="D21" s="118">
        <v>-321</v>
      </c>
      <c r="E21" s="119">
        <f>'Income Statement'!E7*Assumptions!B22</f>
        <v>-354.96249599999999</v>
      </c>
      <c r="F21" s="119">
        <f>F7*Assumptions!C22</f>
        <v>-382.81374240000008</v>
      </c>
      <c r="G21" s="119">
        <f>G7*Assumptions!D22</f>
        <v>-406.00118239680012</v>
      </c>
      <c r="H21" s="2"/>
      <c r="I21" s="2"/>
      <c r="J21" s="2"/>
      <c r="K21" s="2"/>
      <c r="L21" s="2"/>
      <c r="M21" s="2"/>
      <c r="N21" s="1"/>
    </row>
    <row r="22" spans="1:14" x14ac:dyDescent="0.3">
      <c r="A22" s="2" t="s">
        <v>22</v>
      </c>
      <c r="B22" s="4">
        <f>B20+B21</f>
        <v>113736</v>
      </c>
      <c r="C22" s="4">
        <f t="shared" ref="C22" si="4">C20+C21</f>
        <v>123485</v>
      </c>
      <c r="D22" s="4">
        <f>D20+D21</f>
        <v>132729</v>
      </c>
      <c r="E22" s="2">
        <f>E20+E21</f>
        <v>142819.61660399998</v>
      </c>
      <c r="F22" s="2">
        <f t="shared" ref="F22:G22" si="5">F20+F21</f>
        <v>155630.52423840002</v>
      </c>
      <c r="G22" s="2">
        <f t="shared" si="5"/>
        <v>167133.30835081922</v>
      </c>
      <c r="H22" s="2"/>
      <c r="I22" s="2"/>
      <c r="J22" s="2"/>
      <c r="K22" s="2"/>
      <c r="L22" s="2"/>
      <c r="M22" s="2"/>
      <c r="N22" s="1"/>
    </row>
    <row r="23" spans="1:14" x14ac:dyDescent="0.3">
      <c r="A23" s="2" t="s">
        <v>23</v>
      </c>
      <c r="B23" s="2">
        <v>16741</v>
      </c>
      <c r="C23" s="2">
        <v>29749</v>
      </c>
      <c r="D23" s="2">
        <v>20719</v>
      </c>
      <c r="E23" s="2">
        <f>E22*Assumptions!B23</f>
        <v>22851.138656639996</v>
      </c>
      <c r="F23" s="2">
        <f>F22*Assumptions!C23</f>
        <v>24900.883878144003</v>
      </c>
      <c r="G23" s="2">
        <f>G22*Assumptions!D23</f>
        <v>26741.329336131075</v>
      </c>
      <c r="H23" s="2"/>
      <c r="I23" s="2"/>
      <c r="J23" s="2"/>
      <c r="K23" s="2"/>
      <c r="L23" s="2"/>
      <c r="M23" s="2"/>
      <c r="N23" s="1"/>
    </row>
    <row r="24" spans="1:14" ht="15" thickBot="1" x14ac:dyDescent="0.35">
      <c r="A24" s="8" t="s">
        <v>24</v>
      </c>
      <c r="B24" s="6">
        <f>B22-B23</f>
        <v>96995</v>
      </c>
      <c r="C24" s="6">
        <f t="shared" ref="C24" si="6">C22-C23</f>
        <v>93736</v>
      </c>
      <c r="D24" s="6">
        <f>D22-D23</f>
        <v>112010</v>
      </c>
      <c r="E24" s="6">
        <f>E22-E23</f>
        <v>119968.47794735999</v>
      </c>
      <c r="F24" s="6">
        <f t="shared" ref="F24:G24" si="7">F22-F23</f>
        <v>130729.64036025602</v>
      </c>
      <c r="G24" s="6">
        <f t="shared" si="7"/>
        <v>140391.97901468814</v>
      </c>
      <c r="H24" s="2"/>
      <c r="I24" s="2"/>
      <c r="J24" s="2"/>
      <c r="K24" s="2"/>
      <c r="L24" s="2"/>
      <c r="M24" s="2"/>
      <c r="N24" s="1"/>
    </row>
    <row r="25" spans="1:14" ht="15" thickTop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1"/>
    </row>
    <row r="26" spans="1:14" x14ac:dyDescent="0.3">
      <c r="A26" s="2" t="s">
        <v>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1"/>
    </row>
    <row r="27" spans="1:14" x14ac:dyDescent="0.3">
      <c r="A27" s="2" t="s">
        <v>6</v>
      </c>
      <c r="B27" s="3">
        <v>6.16</v>
      </c>
      <c r="C27" s="3">
        <v>6.11</v>
      </c>
      <c r="D27" s="3">
        <v>7.49</v>
      </c>
      <c r="E27" s="2"/>
      <c r="F27" s="2"/>
      <c r="G27" s="2"/>
      <c r="H27" s="2"/>
      <c r="I27" s="2"/>
      <c r="J27" s="2"/>
      <c r="K27" s="2"/>
      <c r="L27" s="2"/>
      <c r="M27" s="2"/>
      <c r="N27" s="1"/>
    </row>
    <row r="28" spans="1:14" x14ac:dyDescent="0.3">
      <c r="A28" s="2" t="s">
        <v>7</v>
      </c>
      <c r="B28" s="3">
        <v>6.13</v>
      </c>
      <c r="C28" s="3">
        <v>6.08</v>
      </c>
      <c r="D28" s="3">
        <v>7.46</v>
      </c>
      <c r="E28" s="2"/>
      <c r="F28" s="2"/>
      <c r="G28" s="2"/>
      <c r="H28" s="2"/>
      <c r="I28" s="2"/>
      <c r="J28" s="2"/>
      <c r="K28" s="2"/>
      <c r="L28" s="2"/>
      <c r="M28" s="2"/>
      <c r="N28" s="1"/>
    </row>
    <row r="29" spans="1:14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1"/>
    </row>
    <row r="30" spans="1:14" x14ac:dyDescent="0.3">
      <c r="A30" s="2" t="s">
        <v>8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1"/>
    </row>
    <row r="31" spans="1:14" x14ac:dyDescent="0.3">
      <c r="A31" s="2" t="s">
        <v>6</v>
      </c>
      <c r="B31" s="2">
        <v>15744231</v>
      </c>
      <c r="C31" s="2">
        <v>15343783</v>
      </c>
      <c r="D31" s="2">
        <v>14948500</v>
      </c>
      <c r="E31" s="2"/>
      <c r="F31" s="2"/>
      <c r="G31" s="2"/>
      <c r="H31" s="2"/>
      <c r="I31" s="2"/>
      <c r="J31" s="2"/>
      <c r="K31" s="2"/>
      <c r="L31" s="2"/>
      <c r="M31" s="2"/>
      <c r="N31" s="1"/>
    </row>
    <row r="32" spans="1:14" x14ac:dyDescent="0.3">
      <c r="A32" s="2" t="s">
        <v>7</v>
      </c>
      <c r="B32" s="2">
        <v>15812547</v>
      </c>
      <c r="C32" s="2">
        <v>15408095</v>
      </c>
      <c r="D32" s="2">
        <v>15004697</v>
      </c>
      <c r="E32" s="2"/>
      <c r="F32" s="2"/>
      <c r="G32" s="2"/>
      <c r="H32" s="2"/>
      <c r="I32" s="2"/>
      <c r="J32" s="2"/>
      <c r="K32" s="2"/>
      <c r="L32" s="2"/>
      <c r="M32" s="2"/>
      <c r="N32" s="1"/>
    </row>
    <row r="33" spans="1:14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1"/>
    </row>
    <row r="34" spans="1:14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1"/>
    </row>
    <row r="35" spans="1:14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1"/>
    </row>
    <row r="36" spans="1:14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1"/>
    </row>
    <row r="37" spans="1:14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1"/>
    </row>
    <row r="38" spans="1:14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1"/>
    </row>
    <row r="39" spans="1:14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1"/>
    </row>
    <row r="40" spans="1:14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1"/>
    </row>
    <row r="41" spans="1:14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1"/>
    </row>
    <row r="42" spans="1:14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1"/>
    </row>
    <row r="43" spans="1:14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1"/>
    </row>
    <row r="44" spans="1:14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1"/>
    </row>
    <row r="45" spans="1:14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1"/>
    </row>
    <row r="46" spans="1:14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46B90-4532-4772-A86E-17DD37A5C8A4}">
  <dimension ref="A1:M42"/>
  <sheetViews>
    <sheetView showGridLines="0" topLeftCell="A20" workbookViewId="0">
      <selection activeCell="D31" sqref="D31"/>
    </sheetView>
  </sheetViews>
  <sheetFormatPr defaultRowHeight="14.4" x14ac:dyDescent="0.3"/>
  <cols>
    <col min="1" max="1" width="70.33203125" bestFit="1" customWidth="1"/>
    <col min="2" max="3" width="10.21875" bestFit="1" customWidth="1"/>
    <col min="4" max="6" width="11.33203125" bestFit="1" customWidth="1"/>
    <col min="8" max="11" width="11.33203125" bestFit="1" customWidth="1"/>
  </cols>
  <sheetData>
    <row r="1" spans="1:11" x14ac:dyDescent="0.3">
      <c r="C1" s="2" t="s">
        <v>11</v>
      </c>
      <c r="D1" s="2"/>
      <c r="E1" s="2"/>
      <c r="F1" s="2"/>
      <c r="G1" s="2"/>
      <c r="H1" s="2"/>
      <c r="I1" s="2"/>
      <c r="J1" s="2"/>
    </row>
    <row r="2" spans="1:11" x14ac:dyDescent="0.3">
      <c r="B2" s="106" t="s">
        <v>116</v>
      </c>
      <c r="C2" s="106" t="s">
        <v>111</v>
      </c>
      <c r="D2" s="106" t="s">
        <v>112</v>
      </c>
      <c r="E2" s="106" t="s">
        <v>113</v>
      </c>
      <c r="F2" s="106" t="s">
        <v>114</v>
      </c>
    </row>
    <row r="3" spans="1:11" x14ac:dyDescent="0.3">
      <c r="A3" t="s">
        <v>25</v>
      </c>
    </row>
    <row r="4" spans="1:11" x14ac:dyDescent="0.3">
      <c r="A4" t="s">
        <v>26</v>
      </c>
    </row>
    <row r="5" spans="1:11" x14ac:dyDescent="0.3">
      <c r="A5" t="s">
        <v>27</v>
      </c>
      <c r="B5" s="120">
        <v>29943</v>
      </c>
      <c r="C5" s="120">
        <v>35934</v>
      </c>
      <c r="D5" s="133">
        <f>'Cash Flow'!E40</f>
        <v>54293.895106535987</v>
      </c>
      <c r="E5" s="133">
        <f>'Cash Flow'!F40</f>
        <v>70560.649508591043</v>
      </c>
      <c r="F5" s="133">
        <f>'Cash Flow'!G40</f>
        <v>86930.732361461472</v>
      </c>
      <c r="G5" s="120"/>
    </row>
    <row r="6" spans="1:11" x14ac:dyDescent="0.3">
      <c r="A6" t="s">
        <v>28</v>
      </c>
      <c r="B6" s="120">
        <v>35228</v>
      </c>
      <c r="C6" s="120">
        <v>18763</v>
      </c>
      <c r="D6" s="120">
        <v>18763</v>
      </c>
      <c r="E6" s="120">
        <v>18763</v>
      </c>
      <c r="F6" s="120">
        <v>18763</v>
      </c>
      <c r="G6" s="120"/>
    </row>
    <row r="7" spans="1:11" x14ac:dyDescent="0.3">
      <c r="A7" t="s">
        <v>29</v>
      </c>
      <c r="B7" s="120">
        <v>33410</v>
      </c>
      <c r="C7" s="120">
        <v>39777</v>
      </c>
      <c r="D7" s="120">
        <f>'Income Statement'!E7*Assumptions!B27</f>
        <v>42151.796399999999</v>
      </c>
      <c r="E7" s="120">
        <f>'Income Statement'!F7*Assumptions!C27</f>
        <v>45459.131910000011</v>
      </c>
      <c r="F7" s="120">
        <f>'Income Statement'!G7*Assumptions!D27</f>
        <v>47705.138931624009</v>
      </c>
      <c r="G7" s="120"/>
      <c r="K7" s="44"/>
    </row>
    <row r="8" spans="1:11" x14ac:dyDescent="0.3">
      <c r="A8" t="s">
        <v>30</v>
      </c>
      <c r="B8" s="120">
        <v>32833</v>
      </c>
      <c r="C8" s="120">
        <v>33180</v>
      </c>
      <c r="D8" s="120">
        <f>'Income Statement'!E7*Assumptions!B28</f>
        <v>35496.249600000003</v>
      </c>
      <c r="E8" s="120">
        <f>'Income Statement'!F7*Assumptions!C28</f>
        <v>38281.374240000005</v>
      </c>
      <c r="F8" s="120">
        <f>'Income Statement'!G7*Assumptions!D28</f>
        <v>40600.118239680007</v>
      </c>
      <c r="G8" s="120"/>
      <c r="K8" s="44"/>
    </row>
    <row r="9" spans="1:11" x14ac:dyDescent="0.3">
      <c r="A9" t="s">
        <v>31</v>
      </c>
      <c r="B9" s="120">
        <v>7286</v>
      </c>
      <c r="C9" s="120">
        <v>5718</v>
      </c>
      <c r="D9" s="120">
        <f>'Income Statement'!E5*Assumptions!B29</f>
        <v>5805.6793199999993</v>
      </c>
      <c r="E9" s="121">
        <f>'Income Statement'!F5*Assumptions!C29</f>
        <v>5827.8031908000012</v>
      </c>
      <c r="F9" s="120">
        <f>'Income Statement'!G5*Assumptions!D29</f>
        <v>6089.8374072120014</v>
      </c>
      <c r="G9" s="120"/>
      <c r="K9" s="44"/>
    </row>
    <row r="10" spans="1:11" x14ac:dyDescent="0.3">
      <c r="A10" t="s">
        <v>32</v>
      </c>
      <c r="B10" s="120">
        <v>14287</v>
      </c>
      <c r="C10" s="120">
        <v>14585</v>
      </c>
      <c r="D10" s="120">
        <v>14585</v>
      </c>
      <c r="E10" s="120">
        <v>14585</v>
      </c>
      <c r="F10" s="120">
        <v>14585</v>
      </c>
      <c r="G10" s="120"/>
    </row>
    <row r="11" spans="1:11" x14ac:dyDescent="0.3">
      <c r="A11" t="s">
        <v>33</v>
      </c>
      <c r="B11" s="122">
        <v>152987</v>
      </c>
      <c r="C11" s="122">
        <v>147957</v>
      </c>
      <c r="D11" s="122">
        <f>D5+D6+D7+D8+D9+D10</f>
        <v>171095.62042653598</v>
      </c>
      <c r="E11" s="122">
        <f t="shared" ref="E11:F11" si="0">E5+E6+E7+E8+E9+E10</f>
        <v>193476.95884939106</v>
      </c>
      <c r="F11" s="122">
        <f t="shared" si="0"/>
        <v>214673.8269399775</v>
      </c>
      <c r="G11" s="120"/>
      <c r="H11" s="44"/>
      <c r="J11" s="48"/>
    </row>
    <row r="12" spans="1:11" x14ac:dyDescent="0.3">
      <c r="B12" s="120"/>
      <c r="C12" s="120"/>
      <c r="D12" s="120"/>
      <c r="E12" s="120"/>
      <c r="F12" s="120"/>
      <c r="G12" s="120"/>
      <c r="H12" s="53"/>
      <c r="J12" s="48"/>
    </row>
    <row r="13" spans="1:11" x14ac:dyDescent="0.3">
      <c r="A13" t="s">
        <v>34</v>
      </c>
      <c r="B13" s="120"/>
      <c r="C13" s="120"/>
      <c r="D13" s="120"/>
      <c r="E13" s="120"/>
      <c r="F13" s="120"/>
      <c r="G13" s="120"/>
      <c r="H13" s="53"/>
      <c r="J13" s="53"/>
    </row>
    <row r="14" spans="1:11" x14ac:dyDescent="0.3">
      <c r="A14" t="s">
        <v>35</v>
      </c>
      <c r="B14" s="120">
        <v>91479</v>
      </c>
      <c r="C14" s="120">
        <v>77723</v>
      </c>
      <c r="D14" s="120">
        <v>77723</v>
      </c>
      <c r="E14" s="120">
        <v>77723</v>
      </c>
      <c r="F14" s="120">
        <v>77723</v>
      </c>
      <c r="G14" s="120"/>
      <c r="H14" s="11"/>
      <c r="J14" s="11"/>
    </row>
    <row r="15" spans="1:11" x14ac:dyDescent="0.3">
      <c r="A15" t="s">
        <v>36</v>
      </c>
      <c r="B15" s="120">
        <v>45680</v>
      </c>
      <c r="C15" s="120">
        <v>49834</v>
      </c>
      <c r="D15" s="133">
        <f>Assumptions!C43</f>
        <v>52052.515599999999</v>
      </c>
      <c r="E15" s="133">
        <f>Assumptions!D43</f>
        <v>55402.135846000005</v>
      </c>
      <c r="F15" s="133">
        <f>Assumptions!E43</f>
        <v>60477.150625960014</v>
      </c>
      <c r="G15" s="120"/>
      <c r="H15" s="44"/>
      <c r="J15" s="44">
        <f>J14-J13</f>
        <v>0</v>
      </c>
    </row>
    <row r="16" spans="1:11" x14ac:dyDescent="0.3">
      <c r="A16" t="s">
        <v>37</v>
      </c>
      <c r="B16" s="120">
        <v>74834</v>
      </c>
      <c r="C16" s="120">
        <v>83727</v>
      </c>
      <c r="D16" s="120">
        <f>C16-8029.24</f>
        <v>75697.759999999995</v>
      </c>
      <c r="E16" s="120">
        <f>C16-13890.76</f>
        <v>69836.240000000005</v>
      </c>
      <c r="F16" s="120">
        <f>C16-20483.08</f>
        <v>63243.92</v>
      </c>
      <c r="G16" s="120"/>
      <c r="K16" s="48"/>
    </row>
    <row r="17" spans="1:13" x14ac:dyDescent="0.3">
      <c r="A17" t="s">
        <v>38</v>
      </c>
      <c r="B17" s="122">
        <v>211993</v>
      </c>
      <c r="C17" s="123">
        <v>211284</v>
      </c>
      <c r="D17" s="123">
        <f>D14+D15+D16</f>
        <v>205473.27559999999</v>
      </c>
      <c r="E17" s="123">
        <f t="shared" ref="E17:F17" si="1">E14+E15+E16</f>
        <v>202961.37584599998</v>
      </c>
      <c r="F17" s="123">
        <f t="shared" si="1"/>
        <v>201444.07062596001</v>
      </c>
      <c r="G17" s="120"/>
      <c r="K17" s="48"/>
    </row>
    <row r="18" spans="1:13" ht="15" thickBot="1" x14ac:dyDescent="0.35">
      <c r="A18" s="106" t="s">
        <v>39</v>
      </c>
      <c r="B18" s="124">
        <v>364980</v>
      </c>
      <c r="C18" s="125">
        <v>359241</v>
      </c>
      <c r="D18" s="124">
        <f>D11+D17</f>
        <v>376568.89602653601</v>
      </c>
      <c r="E18" s="124">
        <f t="shared" ref="E18:F18" si="2">E11+E17</f>
        <v>396438.33469539101</v>
      </c>
      <c r="F18" s="124">
        <f t="shared" si="2"/>
        <v>416117.89756593748</v>
      </c>
      <c r="G18" s="120"/>
    </row>
    <row r="19" spans="1:13" ht="15" thickTop="1" x14ac:dyDescent="0.3">
      <c r="B19" s="120"/>
      <c r="C19" s="120"/>
      <c r="D19" s="120"/>
      <c r="E19" s="120"/>
      <c r="F19" s="120"/>
      <c r="G19" s="120"/>
      <c r="J19" s="44"/>
      <c r="M19" s="48"/>
    </row>
    <row r="20" spans="1:13" x14ac:dyDescent="0.3">
      <c r="A20" t="s">
        <v>40</v>
      </c>
      <c r="B20" s="120"/>
      <c r="C20" s="120"/>
      <c r="D20" s="120"/>
      <c r="E20" s="120"/>
      <c r="F20" s="120"/>
      <c r="G20" s="120"/>
      <c r="J20" s="44"/>
      <c r="M20" s="48"/>
    </row>
    <row r="21" spans="1:13" x14ac:dyDescent="0.3">
      <c r="A21" t="s">
        <v>41</v>
      </c>
      <c r="B21" s="120"/>
      <c r="C21" s="120"/>
      <c r="D21" s="120"/>
      <c r="E21" s="120"/>
      <c r="F21" s="120"/>
      <c r="G21" s="120"/>
      <c r="J21" s="44"/>
    </row>
    <row r="22" spans="1:13" x14ac:dyDescent="0.3">
      <c r="A22" t="s">
        <v>42</v>
      </c>
      <c r="B22" s="120">
        <v>68960</v>
      </c>
      <c r="C22" s="120">
        <v>69860</v>
      </c>
      <c r="D22" s="120">
        <f>'Income Statement'!E12*Assumptions!B30</f>
        <v>72394.104631800001</v>
      </c>
      <c r="E22" s="120">
        <f>'Income Statement'!F12*Assumptions!C30</f>
        <v>77131.780328232009</v>
      </c>
      <c r="F22" s="120">
        <f>'Income Statement'!G12*Assumptions!D30</f>
        <v>80845.500747576487</v>
      </c>
      <c r="G22" s="120"/>
      <c r="J22" s="44"/>
    </row>
    <row r="23" spans="1:13" x14ac:dyDescent="0.3">
      <c r="A23" t="s">
        <v>43</v>
      </c>
      <c r="B23" s="120">
        <v>78304</v>
      </c>
      <c r="C23" s="120">
        <v>66387</v>
      </c>
      <c r="D23" s="120">
        <f>C23*(1+2%)</f>
        <v>67714.740000000005</v>
      </c>
      <c r="E23" s="120">
        <f>D23*(1+2%)</f>
        <v>69069.034800000009</v>
      </c>
      <c r="F23" s="120">
        <f>E23*(1+2%)</f>
        <v>70450.415496000016</v>
      </c>
      <c r="G23" s="120"/>
      <c r="J23" s="11"/>
    </row>
    <row r="24" spans="1:13" x14ac:dyDescent="0.3">
      <c r="A24" t="s">
        <v>44</v>
      </c>
      <c r="B24" s="120">
        <v>8249</v>
      </c>
      <c r="C24" s="120">
        <v>9055</v>
      </c>
      <c r="D24" s="120">
        <f>'Income Statement'!E6*Assumptions!B31</f>
        <v>9693.2304000000004</v>
      </c>
      <c r="E24" s="120">
        <f>'Income Statement'!F6*Assumptions!C31</f>
        <v>10856.418048000001</v>
      </c>
      <c r="F24" s="120">
        <f>'Income Statement'!G6*Assumptions!D31</f>
        <v>11942.059852800001</v>
      </c>
      <c r="G24" s="120"/>
      <c r="J24" s="44"/>
    </row>
    <row r="25" spans="1:13" x14ac:dyDescent="0.3">
      <c r="A25" t="s">
        <v>45</v>
      </c>
      <c r="B25" s="120">
        <v>9967</v>
      </c>
      <c r="C25" s="120">
        <v>7979</v>
      </c>
      <c r="D25" s="120">
        <f>'Balance Sheet'!C25</f>
        <v>7979</v>
      </c>
      <c r="E25" s="120">
        <f>D25</f>
        <v>7979</v>
      </c>
      <c r="F25" s="120">
        <f>E25</f>
        <v>7979</v>
      </c>
      <c r="G25" s="120"/>
    </row>
    <row r="26" spans="1:13" x14ac:dyDescent="0.3">
      <c r="A26" t="s">
        <v>46</v>
      </c>
      <c r="B26" s="120">
        <v>10912</v>
      </c>
      <c r="C26" s="120">
        <v>12350</v>
      </c>
      <c r="D26" s="120">
        <f>C26</f>
        <v>12350</v>
      </c>
      <c r="E26" s="120">
        <f t="shared" ref="E26:F26" si="3">D26</f>
        <v>12350</v>
      </c>
      <c r="F26" s="120">
        <f t="shared" si="3"/>
        <v>12350</v>
      </c>
      <c r="G26" s="120"/>
    </row>
    <row r="27" spans="1:13" x14ac:dyDescent="0.3">
      <c r="A27" t="s">
        <v>47</v>
      </c>
      <c r="B27" s="123">
        <v>176392</v>
      </c>
      <c r="C27" s="123">
        <v>165631</v>
      </c>
      <c r="D27" s="123">
        <f>D22+D23+D24+D25+D26</f>
        <v>170131.07503180002</v>
      </c>
      <c r="E27" s="123">
        <f t="shared" ref="E27:F27" si="4">E22+E23+E24+E25+E26</f>
        <v>177386.233176232</v>
      </c>
      <c r="F27" s="123">
        <f t="shared" si="4"/>
        <v>183566.97609637651</v>
      </c>
      <c r="G27" s="120"/>
    </row>
    <row r="28" spans="1:13" x14ac:dyDescent="0.3">
      <c r="B28" s="120"/>
      <c r="C28" s="120"/>
      <c r="D28" s="120"/>
      <c r="E28" s="120"/>
      <c r="F28" s="120"/>
      <c r="G28" s="120"/>
      <c r="J28" s="48"/>
    </row>
    <row r="29" spans="1:13" x14ac:dyDescent="0.3">
      <c r="A29" t="s">
        <v>48</v>
      </c>
      <c r="B29" s="120"/>
      <c r="C29" s="120"/>
      <c r="D29" s="120"/>
      <c r="E29" s="120"/>
      <c r="F29" s="120"/>
      <c r="G29" s="120"/>
      <c r="I29" s="44"/>
      <c r="J29" s="48"/>
      <c r="K29" s="44"/>
    </row>
    <row r="30" spans="1:13" x14ac:dyDescent="0.3">
      <c r="A30" t="s">
        <v>46</v>
      </c>
      <c r="B30" s="120">
        <v>85750</v>
      </c>
      <c r="C30" s="120">
        <v>78328</v>
      </c>
      <c r="D30" s="120">
        <f>C30</f>
        <v>78328</v>
      </c>
      <c r="E30" s="120">
        <f>C30</f>
        <v>78328</v>
      </c>
      <c r="F30" s="120">
        <f t="shared" ref="F30" si="5">E30</f>
        <v>78328</v>
      </c>
      <c r="G30" s="120"/>
      <c r="I30" s="44"/>
      <c r="J30" s="48"/>
      <c r="K30" s="44"/>
    </row>
    <row r="31" spans="1:13" x14ac:dyDescent="0.3">
      <c r="A31" t="s">
        <v>49</v>
      </c>
      <c r="B31" s="120">
        <v>45888</v>
      </c>
      <c r="C31" s="120">
        <v>41549</v>
      </c>
      <c r="D31" s="120">
        <f>C31*(1+2%)</f>
        <v>42379.98</v>
      </c>
      <c r="E31" s="120">
        <f>D31*(1+2%)</f>
        <v>43227.579600000005</v>
      </c>
      <c r="F31" s="120">
        <f>E31*(1+2%)</f>
        <v>44092.131192000008</v>
      </c>
      <c r="G31" s="120"/>
      <c r="I31" s="44"/>
      <c r="K31" s="44"/>
    </row>
    <row r="32" spans="1:13" x14ac:dyDescent="0.3">
      <c r="A32" t="s">
        <v>50</v>
      </c>
      <c r="B32" s="123">
        <v>131638</v>
      </c>
      <c r="C32" s="123">
        <v>119877</v>
      </c>
      <c r="D32" s="123">
        <f>D30+D31</f>
        <v>120707.98000000001</v>
      </c>
      <c r="E32" s="123">
        <f>E30+E31</f>
        <v>121555.5796</v>
      </c>
      <c r="F32" s="123">
        <f>F30+F31</f>
        <v>122420.131192</v>
      </c>
      <c r="G32" s="120"/>
    </row>
    <row r="33" spans="1:7" ht="15" thickBot="1" x14ac:dyDescent="0.35">
      <c r="A33" s="106" t="s">
        <v>51</v>
      </c>
      <c r="B33" s="124">
        <v>308030</v>
      </c>
      <c r="C33" s="124">
        <v>285508</v>
      </c>
      <c r="D33" s="124">
        <f>D27+D32</f>
        <v>290839.05503180006</v>
      </c>
      <c r="E33" s="124">
        <f t="shared" ref="E33:F33" si="6">E27+E32</f>
        <v>298941.81277623202</v>
      </c>
      <c r="F33" s="124">
        <f t="shared" si="6"/>
        <v>305987.10728837654</v>
      </c>
      <c r="G33" s="120"/>
    </row>
    <row r="34" spans="1:7" ht="15" thickTop="1" x14ac:dyDescent="0.3">
      <c r="B34" s="120"/>
      <c r="C34" s="120"/>
      <c r="D34" s="120"/>
      <c r="E34" s="120"/>
      <c r="F34" s="120"/>
      <c r="G34" s="120"/>
    </row>
    <row r="35" spans="1:7" x14ac:dyDescent="0.3">
      <c r="A35" t="s">
        <v>52</v>
      </c>
      <c r="B35" s="120"/>
      <c r="C35" s="120"/>
      <c r="D35" s="120"/>
      <c r="E35" s="120"/>
      <c r="F35" s="120"/>
      <c r="G35" s="120"/>
    </row>
    <row r="36" spans="1:7" x14ac:dyDescent="0.3">
      <c r="A36" t="s">
        <v>53</v>
      </c>
      <c r="B36" s="120">
        <v>83276</v>
      </c>
      <c r="C36" s="120">
        <v>93568</v>
      </c>
      <c r="D36" s="120">
        <v>93568</v>
      </c>
      <c r="E36" s="120">
        <v>93568</v>
      </c>
      <c r="F36" s="120">
        <v>93568</v>
      </c>
      <c r="G36" s="120"/>
    </row>
    <row r="37" spans="1:7" x14ac:dyDescent="0.3">
      <c r="A37" t="s">
        <v>54</v>
      </c>
      <c r="B37" s="120"/>
      <c r="C37" s="120"/>
      <c r="D37" s="120"/>
      <c r="E37" s="120"/>
      <c r="F37" s="120"/>
      <c r="G37" s="120"/>
    </row>
    <row r="38" spans="1:7" x14ac:dyDescent="0.3">
      <c r="A38" t="s">
        <v>55</v>
      </c>
      <c r="B38" s="126">
        <v>-19154</v>
      </c>
      <c r="C38" s="126">
        <v>-14264</v>
      </c>
      <c r="D38" s="126">
        <v>-14264</v>
      </c>
      <c r="E38" s="126">
        <v>-14264</v>
      </c>
      <c r="F38" s="126">
        <v>-14264</v>
      </c>
      <c r="G38" s="120"/>
    </row>
    <row r="39" spans="1:7" x14ac:dyDescent="0.3">
      <c r="A39" t="s">
        <v>56</v>
      </c>
      <c r="B39" s="126">
        <v>-7172</v>
      </c>
      <c r="C39" s="126">
        <v>5571</v>
      </c>
      <c r="D39" s="126">
        <v>5571</v>
      </c>
      <c r="E39" s="126">
        <v>5571</v>
      </c>
      <c r="F39" s="126">
        <v>5571</v>
      </c>
      <c r="G39" s="120"/>
    </row>
    <row r="40" spans="1:7" x14ac:dyDescent="0.3">
      <c r="A40" t="s">
        <v>57</v>
      </c>
      <c r="B40" s="122">
        <v>56950</v>
      </c>
      <c r="C40" s="123">
        <v>73733</v>
      </c>
      <c r="D40" s="123">
        <f>Assumptions!C49</f>
        <v>85729.847794736008</v>
      </c>
      <c r="E40" s="123">
        <f>Assumptions!D49</f>
        <v>97495.515427159044</v>
      </c>
      <c r="F40" s="123">
        <f>Assumptions!E49</f>
        <v>110130.793538481</v>
      </c>
      <c r="G40" s="120"/>
    </row>
    <row r="41" spans="1:7" ht="15" thickBot="1" x14ac:dyDescent="0.35">
      <c r="A41" s="106" t="s">
        <v>58</v>
      </c>
      <c r="B41" s="124">
        <v>364980</v>
      </c>
      <c r="C41" s="124">
        <v>359241</v>
      </c>
      <c r="D41" s="124">
        <f>D33+D40</f>
        <v>376568.9028265361</v>
      </c>
      <c r="E41" s="124">
        <f>E33+E40</f>
        <v>396437.32820339105</v>
      </c>
      <c r="F41" s="124">
        <f>F33+F40</f>
        <v>416117.90082685754</v>
      </c>
      <c r="G41" s="120"/>
    </row>
    <row r="42" spans="1:7" ht="15" thickTop="1" x14ac:dyDescent="0.3">
      <c r="B42" s="120"/>
      <c r="C42" s="120"/>
      <c r="D42" s="120"/>
      <c r="E42" s="120"/>
      <c r="F42" s="120"/>
      <c r="G42" s="120"/>
    </row>
  </sheetData>
  <pageMargins left="0.7" right="0.7" top="0.75" bottom="0.75" header="0.3" footer="0.3"/>
  <ignoredErrors>
    <ignoredError sqref="E30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C5F58-6210-49F0-9E74-979A1C985338}">
  <dimension ref="A1:L44"/>
  <sheetViews>
    <sheetView showGridLines="0" topLeftCell="A19" workbookViewId="0">
      <selection activeCell="E33" sqref="E33"/>
    </sheetView>
  </sheetViews>
  <sheetFormatPr defaultRowHeight="14.4" x14ac:dyDescent="0.3"/>
  <cols>
    <col min="1" max="1" width="72.6640625" bestFit="1" customWidth="1"/>
    <col min="2" max="5" width="11.5546875" bestFit="1" customWidth="1"/>
    <col min="6" max="6" width="12.109375" bestFit="1" customWidth="1"/>
    <col min="7" max="7" width="11.5546875" bestFit="1" customWidth="1"/>
  </cols>
  <sheetData>
    <row r="1" spans="1:11" x14ac:dyDescent="0.3">
      <c r="C1" t="s">
        <v>59</v>
      </c>
    </row>
    <row r="2" spans="1:11" x14ac:dyDescent="0.3">
      <c r="C2" t="s">
        <v>12</v>
      </c>
    </row>
    <row r="3" spans="1:11" x14ac:dyDescent="0.3">
      <c r="B3" s="106" t="s">
        <v>122</v>
      </c>
      <c r="C3" s="106" t="s">
        <v>116</v>
      </c>
      <c r="D3" s="106" t="s">
        <v>111</v>
      </c>
      <c r="E3" s="106" t="s">
        <v>112</v>
      </c>
      <c r="F3" s="106" t="s">
        <v>113</v>
      </c>
      <c r="G3" s="106" t="s">
        <v>114</v>
      </c>
    </row>
    <row r="4" spans="1:11" ht="15" thickBot="1" x14ac:dyDescent="0.35">
      <c r="A4" t="s">
        <v>60</v>
      </c>
      <c r="B4" s="10">
        <v>24977</v>
      </c>
      <c r="C4" s="10">
        <v>30767</v>
      </c>
      <c r="D4" s="12">
        <v>29943</v>
      </c>
      <c r="E4" s="12">
        <f>D40</f>
        <v>35934</v>
      </c>
      <c r="F4" s="12">
        <f>E40</f>
        <v>54293.895106535987</v>
      </c>
      <c r="G4" s="12">
        <f>F40</f>
        <v>70560.649508591043</v>
      </c>
    </row>
    <row r="5" spans="1:11" x14ac:dyDescent="0.3">
      <c r="B5" s="11"/>
      <c r="C5" s="11"/>
      <c r="D5" s="11"/>
      <c r="E5" s="11"/>
    </row>
    <row r="6" spans="1:11" x14ac:dyDescent="0.3">
      <c r="A6" t="s">
        <v>61</v>
      </c>
      <c r="B6" s="11"/>
      <c r="C6" s="11"/>
      <c r="D6" s="11"/>
      <c r="E6" s="11"/>
      <c r="K6" s="48"/>
    </row>
    <row r="7" spans="1:11" x14ac:dyDescent="0.3">
      <c r="A7" t="s">
        <v>4</v>
      </c>
      <c r="B7" s="127">
        <v>96995</v>
      </c>
      <c r="C7" s="127">
        <v>93736</v>
      </c>
      <c r="D7" s="127">
        <v>112010</v>
      </c>
      <c r="E7" s="134">
        <f>'Income Statement'!E24</f>
        <v>119968.47794735999</v>
      </c>
      <c r="F7" s="134">
        <f>'Income Statement'!F24</f>
        <v>130729.64036025602</v>
      </c>
      <c r="G7" s="134">
        <f>'Income Statement'!G24</f>
        <v>140391.97901468814</v>
      </c>
      <c r="K7" s="48"/>
    </row>
    <row r="8" spans="1:11" x14ac:dyDescent="0.3">
      <c r="A8" t="s">
        <v>62</v>
      </c>
      <c r="B8" s="127"/>
      <c r="C8" s="127"/>
      <c r="D8" s="127"/>
      <c r="E8" s="127"/>
      <c r="F8" s="127"/>
      <c r="G8" s="127"/>
      <c r="K8" s="48"/>
    </row>
    <row r="9" spans="1:11" x14ac:dyDescent="0.3">
      <c r="A9" t="s">
        <v>63</v>
      </c>
      <c r="B9" s="127">
        <v>11519</v>
      </c>
      <c r="C9" s="127">
        <v>11445</v>
      </c>
      <c r="D9" s="127">
        <v>11698</v>
      </c>
      <c r="E9" s="134">
        <f>Assumptions!C42</f>
        <v>13311.0936</v>
      </c>
      <c r="F9" s="134">
        <f>Assumptions!D42</f>
        <v>14355.515340000002</v>
      </c>
      <c r="G9" s="134">
        <f>Assumptions!E42</f>
        <v>15225.044339880002</v>
      </c>
    </row>
    <row r="10" spans="1:11" x14ac:dyDescent="0.3">
      <c r="A10" t="s">
        <v>64</v>
      </c>
      <c r="B10" s="127">
        <v>10833</v>
      </c>
      <c r="C10" s="127">
        <v>11688</v>
      </c>
      <c r="D10" s="127">
        <v>12863</v>
      </c>
      <c r="E10" s="127">
        <f>'Income Statement'!E7*Assumptions!C55</f>
        <v>13311.0936</v>
      </c>
      <c r="F10" s="127">
        <f>'Income Statement'!F7*Assumptions!D55</f>
        <v>14355.515340000002</v>
      </c>
      <c r="G10" s="127">
        <f>'Income Statement'!G7*Assumptions!E55</f>
        <v>15225.044339880002</v>
      </c>
    </row>
    <row r="11" spans="1:11" x14ac:dyDescent="0.3">
      <c r="A11" t="s">
        <v>65</v>
      </c>
      <c r="B11" s="127">
        <v>-2227</v>
      </c>
      <c r="C11" s="127">
        <v>-2266</v>
      </c>
      <c r="D11" s="127">
        <v>-89</v>
      </c>
      <c r="E11" s="127">
        <v>-89</v>
      </c>
      <c r="F11" s="127">
        <v>-89</v>
      </c>
      <c r="G11" s="127">
        <v>-89</v>
      </c>
    </row>
    <row r="12" spans="1:11" x14ac:dyDescent="0.3">
      <c r="A12" t="s">
        <v>66</v>
      </c>
      <c r="B12" s="127"/>
      <c r="C12" s="127"/>
      <c r="D12" s="127"/>
      <c r="E12" s="127"/>
      <c r="F12" s="127"/>
      <c r="G12" s="127"/>
    </row>
    <row r="13" spans="1:11" x14ac:dyDescent="0.3">
      <c r="A13" t="s">
        <v>67</v>
      </c>
      <c r="B13" s="127">
        <v>-1688</v>
      </c>
      <c r="C13" s="127">
        <v>-3788</v>
      </c>
      <c r="D13" s="127">
        <v>-6682</v>
      </c>
      <c r="E13" s="127">
        <f>'Balance Sheet'!C7-'Balance Sheet'!D7</f>
        <v>-2374.7963999999993</v>
      </c>
      <c r="F13" s="127">
        <f>'Balance Sheet'!D7-'Balance Sheet'!E7</f>
        <v>-3307.3355100000117</v>
      </c>
      <c r="G13" s="127">
        <f>'Balance Sheet'!E7-'Balance Sheet'!F7</f>
        <v>-2246.0070216239983</v>
      </c>
      <c r="I13" s="16"/>
      <c r="J13" s="48"/>
    </row>
    <row r="14" spans="1:11" x14ac:dyDescent="0.3">
      <c r="A14" t="s">
        <v>30</v>
      </c>
      <c r="B14" s="127">
        <v>1271</v>
      </c>
      <c r="C14" s="127">
        <v>-1356</v>
      </c>
      <c r="D14" s="127">
        <v>-347</v>
      </c>
      <c r="E14" s="127">
        <f>'Balance Sheet'!C8-'Balance Sheet'!D8</f>
        <v>-2316.2496000000028</v>
      </c>
      <c r="F14" s="127">
        <f>'Balance Sheet'!D8-'Balance Sheet'!E8</f>
        <v>-2785.1246400000018</v>
      </c>
      <c r="G14" s="127">
        <f>'Balance Sheet'!E8-'Balance Sheet'!F8</f>
        <v>-2318.7439996800022</v>
      </c>
      <c r="J14" s="48"/>
    </row>
    <row r="15" spans="1:11" x14ac:dyDescent="0.3">
      <c r="A15" t="s">
        <v>31</v>
      </c>
      <c r="B15" s="127">
        <v>-1618</v>
      </c>
      <c r="C15" s="127">
        <v>-1046</v>
      </c>
      <c r="D15" s="127">
        <v>1400</v>
      </c>
      <c r="E15" s="127">
        <f>'Balance Sheet'!C9-'Balance Sheet'!D9</f>
        <v>-87.679319999999279</v>
      </c>
      <c r="F15" s="127">
        <f>'Balance Sheet'!D9-'Balance Sheet'!E9</f>
        <v>-22.123870800001896</v>
      </c>
      <c r="G15" s="127">
        <f>'Balance Sheet'!E9-'Balance Sheet'!F9</f>
        <v>-262.03421641200021</v>
      </c>
      <c r="J15" s="48"/>
    </row>
    <row r="16" spans="1:11" x14ac:dyDescent="0.3">
      <c r="A16" t="s">
        <v>68</v>
      </c>
      <c r="B16" s="127">
        <v>-5684</v>
      </c>
      <c r="C16" s="127">
        <v>-11731</v>
      </c>
      <c r="D16" s="127">
        <v>-9197</v>
      </c>
      <c r="E16" s="128">
        <v>-8176.75</v>
      </c>
      <c r="F16" s="127">
        <v>-8355.7000000000007</v>
      </c>
      <c r="G16" s="127">
        <v>-6955.92</v>
      </c>
    </row>
    <row r="17" spans="1:12" x14ac:dyDescent="0.3">
      <c r="A17" t="s">
        <v>42</v>
      </c>
      <c r="B17" s="127">
        <v>-1889</v>
      </c>
      <c r="C17" s="127">
        <v>6020</v>
      </c>
      <c r="D17" s="127">
        <v>902</v>
      </c>
      <c r="E17" s="127">
        <f>'Balance Sheet'!D22-'Balance Sheet'!C22</f>
        <v>2534.1046318000008</v>
      </c>
      <c r="F17" s="127">
        <f>'Balance Sheet'!E22-'Balance Sheet'!D22</f>
        <v>4737.6756964320084</v>
      </c>
      <c r="G17" s="127">
        <f>'Balance Sheet'!F22-'Balance Sheet'!E22</f>
        <v>3713.7204193444777</v>
      </c>
    </row>
    <row r="18" spans="1:12" x14ac:dyDescent="0.3">
      <c r="A18" t="s">
        <v>69</v>
      </c>
      <c r="B18" s="127">
        <v>3031</v>
      </c>
      <c r="C18" s="127">
        <v>15552</v>
      </c>
      <c r="D18" s="127">
        <v>-11076</v>
      </c>
      <c r="E18" s="128">
        <v>11863.84</v>
      </c>
      <c r="F18" s="127">
        <v>9399.7999999999993</v>
      </c>
      <c r="G18" s="127">
        <v>7825.76</v>
      </c>
    </row>
    <row r="19" spans="1:12" ht="15" thickBot="1" x14ac:dyDescent="0.35">
      <c r="A19" s="106" t="s">
        <v>70</v>
      </c>
      <c r="B19" s="129">
        <v>110543</v>
      </c>
      <c r="C19" s="129">
        <v>118254</v>
      </c>
      <c r="D19" s="129">
        <v>111482</v>
      </c>
      <c r="E19" s="129">
        <f>E7+E9+E10+E11+E13+E14+E15+E16+E17+E18</f>
        <v>147944.13445915998</v>
      </c>
      <c r="F19" s="129">
        <f t="shared" ref="F19:G19" si="0">F7+F9+F10+F11+F13+F14+F15+F16+F17+F18</f>
        <v>159018.86271588801</v>
      </c>
      <c r="G19" s="129">
        <f t="shared" si="0"/>
        <v>170509.84287607664</v>
      </c>
    </row>
    <row r="20" spans="1:12" x14ac:dyDescent="0.3">
      <c r="B20" s="127"/>
      <c r="C20" s="127"/>
      <c r="D20" s="127"/>
      <c r="E20" s="127"/>
      <c r="F20" s="127"/>
      <c r="G20" s="127"/>
    </row>
    <row r="21" spans="1:12" x14ac:dyDescent="0.3">
      <c r="A21" t="s">
        <v>71</v>
      </c>
      <c r="B21" s="127"/>
      <c r="C21" s="127"/>
      <c r="D21" s="127"/>
      <c r="E21" s="127"/>
      <c r="F21" s="127"/>
      <c r="G21" s="127"/>
    </row>
    <row r="22" spans="1:12" x14ac:dyDescent="0.3">
      <c r="A22" t="s">
        <v>72</v>
      </c>
      <c r="B22" s="127">
        <v>-29513</v>
      </c>
      <c r="C22" s="127">
        <v>-48656</v>
      </c>
      <c r="D22" s="127">
        <v>-24407</v>
      </c>
      <c r="E22" s="127">
        <v>0</v>
      </c>
      <c r="F22" s="127">
        <v>0</v>
      </c>
      <c r="G22" s="127">
        <v>0</v>
      </c>
    </row>
    <row r="23" spans="1:12" x14ac:dyDescent="0.3">
      <c r="A23" t="s">
        <v>73</v>
      </c>
      <c r="B23" s="127">
        <v>39686</v>
      </c>
      <c r="C23" s="127">
        <v>51211</v>
      </c>
      <c r="D23" s="127">
        <v>40907</v>
      </c>
      <c r="E23" s="127">
        <v>0</v>
      </c>
      <c r="F23" s="127">
        <v>0</v>
      </c>
      <c r="G23" s="127">
        <v>0</v>
      </c>
    </row>
    <row r="24" spans="1:12" x14ac:dyDescent="0.3">
      <c r="A24" t="s">
        <v>74</v>
      </c>
      <c r="B24" s="127">
        <v>5828</v>
      </c>
      <c r="C24" s="127">
        <v>11135</v>
      </c>
      <c r="D24" s="127">
        <v>12890</v>
      </c>
      <c r="E24" s="127">
        <v>9951</v>
      </c>
      <c r="F24" s="127">
        <v>9951</v>
      </c>
      <c r="G24" s="127">
        <v>9951</v>
      </c>
      <c r="J24" s="48"/>
    </row>
    <row r="25" spans="1:12" x14ac:dyDescent="0.3">
      <c r="A25" t="s">
        <v>75</v>
      </c>
      <c r="B25" s="127">
        <v>-10959</v>
      </c>
      <c r="C25" s="127">
        <v>-9447</v>
      </c>
      <c r="D25" s="127">
        <v>-12715</v>
      </c>
      <c r="E25" s="134">
        <f>-Assumptions!C41</f>
        <v>-15529.609200000001</v>
      </c>
      <c r="F25" s="134">
        <f>-Assumptions!D41</f>
        <v>-17705.135586</v>
      </c>
      <c r="G25" s="134">
        <f>-Assumptions!E41</f>
        <v>-20300.059119840003</v>
      </c>
      <c r="J25" s="48"/>
    </row>
    <row r="26" spans="1:12" x14ac:dyDescent="0.3">
      <c r="A26" t="s">
        <v>76</v>
      </c>
      <c r="B26" s="127">
        <v>-1337</v>
      </c>
      <c r="C26" s="127">
        <v>-1308</v>
      </c>
      <c r="D26" s="127">
        <v>-1480</v>
      </c>
      <c r="E26" s="127">
        <v>-1480</v>
      </c>
      <c r="F26" s="127">
        <v>-1480</v>
      </c>
      <c r="G26" s="127">
        <v>-1480</v>
      </c>
      <c r="J26" s="48"/>
    </row>
    <row r="27" spans="1:12" ht="15" thickBot="1" x14ac:dyDescent="0.35">
      <c r="A27" s="106" t="s">
        <v>77</v>
      </c>
      <c r="B27" s="129">
        <v>3705</v>
      </c>
      <c r="C27" s="129">
        <v>2935</v>
      </c>
      <c r="D27" s="129">
        <v>15195</v>
      </c>
      <c r="E27" s="129">
        <f>E22+E23+E24+E25+E26</f>
        <v>-7058.6092000000008</v>
      </c>
      <c r="F27" s="129">
        <f t="shared" ref="F27:G27" si="1">F22+F23+F24+F25+F26</f>
        <v>-9234.1355860000003</v>
      </c>
      <c r="G27" s="129">
        <f t="shared" si="1"/>
        <v>-11829.059119840003</v>
      </c>
      <c r="J27" s="48"/>
    </row>
    <row r="28" spans="1:12" x14ac:dyDescent="0.3">
      <c r="B28" s="127"/>
      <c r="C28" s="127"/>
      <c r="D28" s="127"/>
      <c r="E28" s="127"/>
      <c r="F28" s="127"/>
      <c r="G28" s="127"/>
    </row>
    <row r="29" spans="1:12" x14ac:dyDescent="0.3">
      <c r="A29" t="s">
        <v>78</v>
      </c>
      <c r="B29" s="127"/>
      <c r="C29" s="127"/>
      <c r="D29" s="127"/>
      <c r="E29" s="127"/>
      <c r="F29" s="127"/>
      <c r="G29" s="127"/>
      <c r="H29" s="48"/>
    </row>
    <row r="30" spans="1:12" x14ac:dyDescent="0.3">
      <c r="A30" t="s">
        <v>79</v>
      </c>
      <c r="B30" s="127">
        <v>-5431</v>
      </c>
      <c r="C30" s="127">
        <v>-5441</v>
      </c>
      <c r="D30" s="127">
        <v>-5960</v>
      </c>
      <c r="E30" s="127">
        <v>-5960</v>
      </c>
      <c r="F30" s="127">
        <v>-5960</v>
      </c>
      <c r="G30" s="127">
        <v>-5960</v>
      </c>
      <c r="H30" s="48"/>
    </row>
    <row r="31" spans="1:12" x14ac:dyDescent="0.3">
      <c r="A31" t="s">
        <v>80</v>
      </c>
      <c r="B31" s="127">
        <v>-15025</v>
      </c>
      <c r="C31" s="127">
        <v>-15234</v>
      </c>
      <c r="D31" s="127">
        <v>-15421</v>
      </c>
      <c r="E31" s="127">
        <f>-E7*Assumptions!C58</f>
        <v>-17995.271692103997</v>
      </c>
      <c r="F31" s="127">
        <f>-F7*Assumptions!D58</f>
        <v>-20916.742457640965</v>
      </c>
      <c r="G31" s="127">
        <f>-G7*Assumptions!E58</f>
        <v>-22462.716642350104</v>
      </c>
      <c r="H31" s="48"/>
      <c r="L31" s="11"/>
    </row>
    <row r="32" spans="1:12" x14ac:dyDescent="0.3">
      <c r="A32" t="s">
        <v>81</v>
      </c>
      <c r="B32" s="127">
        <v>-77550</v>
      </c>
      <c r="C32" s="127">
        <v>-94949</v>
      </c>
      <c r="D32" s="127">
        <v>-90711</v>
      </c>
      <c r="E32" s="134">
        <f>-Assumptions!C48</f>
        <v>-89976.358460519987</v>
      </c>
      <c r="F32" s="134">
        <f>-Assumptions!D48</f>
        <v>-98047.230270192013</v>
      </c>
      <c r="G32" s="134">
        <f>-Assumptions!E48</f>
        <v>-105293.9842610161</v>
      </c>
    </row>
    <row r="33" spans="1:7" x14ac:dyDescent="0.3">
      <c r="A33" t="s">
        <v>82</v>
      </c>
      <c r="B33" s="127">
        <v>5228</v>
      </c>
      <c r="C33" s="130" t="s">
        <v>86</v>
      </c>
      <c r="D33" s="127">
        <v>4481</v>
      </c>
      <c r="E33" s="127">
        <v>4481</v>
      </c>
      <c r="F33" s="127">
        <v>4481</v>
      </c>
      <c r="G33" s="127">
        <v>4481</v>
      </c>
    </row>
    <row r="34" spans="1:7" x14ac:dyDescent="0.3">
      <c r="A34" t="s">
        <v>83</v>
      </c>
      <c r="B34" s="127">
        <v>-11151</v>
      </c>
      <c r="C34" s="127">
        <v>-9958</v>
      </c>
      <c r="D34" s="127">
        <v>-10932</v>
      </c>
      <c r="E34" s="127">
        <v>-10932</v>
      </c>
      <c r="F34" s="127">
        <v>-10932</v>
      </c>
      <c r="G34" s="127">
        <v>-10932</v>
      </c>
    </row>
    <row r="35" spans="1:7" x14ac:dyDescent="0.3">
      <c r="A35" t="s">
        <v>84</v>
      </c>
      <c r="B35" s="127">
        <v>-3978</v>
      </c>
      <c r="C35" s="127">
        <v>3960</v>
      </c>
      <c r="D35" s="127">
        <v>-2032</v>
      </c>
      <c r="E35" s="127">
        <v>-2032</v>
      </c>
      <c r="F35" s="127">
        <v>-2032</v>
      </c>
      <c r="G35" s="127">
        <v>-2032</v>
      </c>
    </row>
    <row r="36" spans="1:7" x14ac:dyDescent="0.3">
      <c r="A36" t="s">
        <v>65</v>
      </c>
      <c r="B36" s="127">
        <v>-581</v>
      </c>
      <c r="C36" s="127">
        <v>-361</v>
      </c>
      <c r="D36" s="127">
        <v>-111</v>
      </c>
      <c r="E36" s="127">
        <v>-111</v>
      </c>
      <c r="F36" s="127">
        <v>-111</v>
      </c>
      <c r="G36" s="127">
        <v>-111</v>
      </c>
    </row>
    <row r="37" spans="1:7" ht="15" thickBot="1" x14ac:dyDescent="0.35">
      <c r="A37" s="106" t="s">
        <v>85</v>
      </c>
      <c r="B37" s="129">
        <v>-108488</v>
      </c>
      <c r="C37" s="129">
        <v>-121983</v>
      </c>
      <c r="D37" s="129">
        <v>-120686</v>
      </c>
      <c r="E37" s="129">
        <f>E30+E31+E32+E33+E34+E35+E36</f>
        <v>-122525.63015262398</v>
      </c>
      <c r="F37" s="129">
        <f t="shared" ref="F37:G37" si="2">F30+F31+F32+F33+F34+F35+F36</f>
        <v>-133517.97272783297</v>
      </c>
      <c r="G37" s="129">
        <f t="shared" si="2"/>
        <v>-142310.7009033662</v>
      </c>
    </row>
    <row r="38" spans="1:7" x14ac:dyDescent="0.3">
      <c r="B38" s="127"/>
      <c r="C38" s="127"/>
      <c r="D38" s="127"/>
      <c r="E38" s="127"/>
      <c r="F38" s="127"/>
      <c r="G38" s="127"/>
    </row>
    <row r="39" spans="1:7" x14ac:dyDescent="0.3">
      <c r="A39" t="s">
        <v>87</v>
      </c>
      <c r="B39" s="131">
        <v>5760</v>
      </c>
      <c r="C39" s="131">
        <v>-794</v>
      </c>
      <c r="D39" s="127">
        <v>5991</v>
      </c>
      <c r="E39" s="127">
        <f>E19+E27+E37</f>
        <v>18359.895106535987</v>
      </c>
      <c r="F39" s="127">
        <f>F19+F27+F37</f>
        <v>16266.754402055056</v>
      </c>
      <c r="G39" s="127">
        <f>G19+G27+G37</f>
        <v>16370.08285287043</v>
      </c>
    </row>
    <row r="40" spans="1:7" ht="15" thickBot="1" x14ac:dyDescent="0.35">
      <c r="A40" s="106" t="s">
        <v>88</v>
      </c>
      <c r="B40" s="132">
        <v>30737</v>
      </c>
      <c r="C40" s="132">
        <v>29943</v>
      </c>
      <c r="D40" s="132">
        <v>35934</v>
      </c>
      <c r="E40" s="132">
        <f>E4+E39</f>
        <v>54293.895106535987</v>
      </c>
      <c r="F40" s="132">
        <f>F4+F39</f>
        <v>70560.649508591043</v>
      </c>
      <c r="G40" s="132">
        <f>G4+G39</f>
        <v>86930.732361461472</v>
      </c>
    </row>
    <row r="41" spans="1:7" ht="15" thickTop="1" x14ac:dyDescent="0.3">
      <c r="B41" s="127"/>
      <c r="C41" s="127"/>
      <c r="D41" s="127"/>
      <c r="E41" s="127"/>
      <c r="F41" s="127"/>
      <c r="G41" s="127"/>
    </row>
    <row r="42" spans="1:7" x14ac:dyDescent="0.3">
      <c r="A42" t="s">
        <v>89</v>
      </c>
      <c r="B42" s="127"/>
      <c r="C42" s="127"/>
      <c r="D42" s="127"/>
      <c r="E42" s="127"/>
      <c r="F42" s="127"/>
      <c r="G42" s="127"/>
    </row>
    <row r="43" spans="1:7" x14ac:dyDescent="0.3">
      <c r="A43" t="s">
        <v>90</v>
      </c>
      <c r="B43" s="127">
        <v>18679</v>
      </c>
      <c r="C43" s="127">
        <v>26102</v>
      </c>
      <c r="D43" s="127">
        <v>43369</v>
      </c>
      <c r="E43" s="127"/>
      <c r="F43" s="127"/>
      <c r="G43" s="127"/>
    </row>
    <row r="44" spans="1:7" x14ac:dyDescent="0.3">
      <c r="B44" s="127"/>
      <c r="C44" s="127"/>
      <c r="D44" s="127"/>
      <c r="E44" s="127"/>
      <c r="F44" s="127"/>
      <c r="G44" s="12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B5707-8445-4148-B887-728370F66069}">
  <dimension ref="A1:K55"/>
  <sheetViews>
    <sheetView showGridLines="0" topLeftCell="A38" workbookViewId="0">
      <selection activeCell="I51" sqref="I51"/>
    </sheetView>
  </sheetViews>
  <sheetFormatPr defaultRowHeight="14.4" x14ac:dyDescent="0.3"/>
  <cols>
    <col min="1" max="1" width="29.21875" bestFit="1" customWidth="1"/>
    <col min="2" max="3" width="10.21875" bestFit="1" customWidth="1"/>
    <col min="4" max="4" width="12.33203125" bestFit="1" customWidth="1"/>
    <col min="5" max="5" width="11.33203125" bestFit="1" customWidth="1"/>
    <col min="6" max="6" width="16.5546875" bestFit="1" customWidth="1"/>
    <col min="7" max="7" width="11.33203125" bestFit="1" customWidth="1"/>
    <col min="8" max="8" width="10.88671875" bestFit="1" customWidth="1"/>
  </cols>
  <sheetData>
    <row r="1" spans="1:9" x14ac:dyDescent="0.3">
      <c r="C1" t="s">
        <v>91</v>
      </c>
    </row>
    <row r="2" spans="1:9" x14ac:dyDescent="0.3">
      <c r="D2" t="s">
        <v>92</v>
      </c>
    </row>
    <row r="3" spans="1:9" x14ac:dyDescent="0.3">
      <c r="C3" s="106">
        <v>2025</v>
      </c>
    </row>
    <row r="4" spans="1:9" ht="15" thickBot="1" x14ac:dyDescent="0.35">
      <c r="B4" s="9" t="s">
        <v>93</v>
      </c>
      <c r="C4" s="9" t="s">
        <v>94</v>
      </c>
      <c r="D4" s="9" t="s">
        <v>95</v>
      </c>
      <c r="E4" s="47" t="s">
        <v>96</v>
      </c>
      <c r="F4" s="9" t="s">
        <v>97</v>
      </c>
      <c r="G4" s="9" t="s">
        <v>98</v>
      </c>
      <c r="H4" s="9" t="s">
        <v>99</v>
      </c>
    </row>
    <row r="5" spans="1:9" x14ac:dyDescent="0.3">
      <c r="A5" t="s">
        <v>100</v>
      </c>
      <c r="B5" s="136">
        <v>178353</v>
      </c>
      <c r="C5" s="136">
        <v>111030</v>
      </c>
      <c r="D5" s="136">
        <v>64377</v>
      </c>
      <c r="E5" s="136">
        <v>28703</v>
      </c>
      <c r="F5" s="137">
        <v>33696</v>
      </c>
      <c r="G5" s="138" t="s">
        <v>86</v>
      </c>
      <c r="H5" s="136">
        <f>B5+C5+D5+E5+F5</f>
        <v>416159</v>
      </c>
      <c r="I5" s="120"/>
    </row>
    <row r="6" spans="1:9" x14ac:dyDescent="0.3">
      <c r="A6" t="s">
        <v>14</v>
      </c>
      <c r="B6" s="136">
        <v>-95699</v>
      </c>
      <c r="C6" s="136">
        <v>-58617</v>
      </c>
      <c r="D6" s="136">
        <v>-35141</v>
      </c>
      <c r="E6" s="136">
        <v>-13779</v>
      </c>
      <c r="F6" s="120">
        <v>-17724</v>
      </c>
      <c r="G6" s="138" t="s">
        <v>86</v>
      </c>
      <c r="H6" s="136">
        <f t="shared" ref="H6:H8" si="0">B6+C6+D6+E6+F6</f>
        <v>-220960</v>
      </c>
      <c r="I6" s="120"/>
    </row>
    <row r="7" spans="1:9" x14ac:dyDescent="0.3">
      <c r="A7" t="s">
        <v>101</v>
      </c>
      <c r="B7" s="138" t="s">
        <v>86</v>
      </c>
      <c r="C7" s="138" t="s">
        <v>86</v>
      </c>
      <c r="D7" s="138" t="s">
        <v>86</v>
      </c>
      <c r="E7" s="138" t="s">
        <v>86</v>
      </c>
      <c r="F7" s="138" t="s">
        <v>86</v>
      </c>
      <c r="G7" s="136">
        <v>-34550</v>
      </c>
      <c r="H7" s="136">
        <f>G7</f>
        <v>-34550</v>
      </c>
      <c r="I7" s="120"/>
    </row>
    <row r="8" spans="1:9" x14ac:dyDescent="0.3">
      <c r="A8" t="s">
        <v>102</v>
      </c>
      <c r="B8" s="136">
        <v>-10174</v>
      </c>
      <c r="C8" s="136">
        <v>-4676</v>
      </c>
      <c r="D8" s="136">
        <v>-2319</v>
      </c>
      <c r="E8" s="136">
        <v>-969</v>
      </c>
      <c r="F8" s="137">
        <v>-1386</v>
      </c>
      <c r="G8" s="138" t="s">
        <v>86</v>
      </c>
      <c r="H8" s="136">
        <f t="shared" si="0"/>
        <v>-19524</v>
      </c>
      <c r="I8" s="120"/>
    </row>
    <row r="9" spans="1:9" x14ac:dyDescent="0.3">
      <c r="A9" t="s">
        <v>103</v>
      </c>
      <c r="B9" s="138" t="s">
        <v>86</v>
      </c>
      <c r="C9" s="138" t="s">
        <v>86</v>
      </c>
      <c r="D9" s="138" t="s">
        <v>86</v>
      </c>
      <c r="E9" s="138" t="s">
        <v>86</v>
      </c>
      <c r="F9" s="138" t="s">
        <v>86</v>
      </c>
      <c r="G9" s="136">
        <v>-8077</v>
      </c>
      <c r="H9" s="136">
        <f>G9</f>
        <v>-8077</v>
      </c>
      <c r="I9" s="120"/>
    </row>
    <row r="10" spans="1:9" ht="15" thickBot="1" x14ac:dyDescent="0.35">
      <c r="A10" t="s">
        <v>104</v>
      </c>
      <c r="B10" s="139">
        <f>B5+B6+B8</f>
        <v>72480</v>
      </c>
      <c r="C10" s="139">
        <f t="shared" ref="C10:F10" si="1">C5+C6+C8</f>
        <v>47737</v>
      </c>
      <c r="D10" s="139">
        <f t="shared" si="1"/>
        <v>26917</v>
      </c>
      <c r="E10" s="139">
        <f t="shared" si="1"/>
        <v>13955</v>
      </c>
      <c r="F10" s="140">
        <f t="shared" si="1"/>
        <v>14586</v>
      </c>
      <c r="G10" s="139">
        <f>G7+G9</f>
        <v>-42627</v>
      </c>
      <c r="H10" s="139">
        <f>H5+H6+H7+H8+H9</f>
        <v>133048</v>
      </c>
      <c r="I10" s="120"/>
    </row>
    <row r="11" spans="1:9" x14ac:dyDescent="0.3">
      <c r="B11" s="120"/>
      <c r="C11" s="120"/>
      <c r="D11" s="120"/>
      <c r="E11" s="120"/>
      <c r="F11" s="120"/>
      <c r="G11" s="120"/>
      <c r="H11" s="120"/>
      <c r="I11" s="120"/>
    </row>
    <row r="12" spans="1:9" x14ac:dyDescent="0.3">
      <c r="B12" s="120"/>
      <c r="C12" s="120"/>
      <c r="D12" s="120"/>
      <c r="E12" s="120"/>
      <c r="F12" s="120"/>
      <c r="G12" s="120"/>
      <c r="H12" s="120"/>
      <c r="I12" s="120"/>
    </row>
    <row r="13" spans="1:9" x14ac:dyDescent="0.3">
      <c r="B13" s="120"/>
      <c r="C13" s="120"/>
      <c r="D13" s="120"/>
      <c r="E13" s="120"/>
      <c r="F13" s="120"/>
      <c r="G13" s="120"/>
      <c r="H13" s="120"/>
      <c r="I13" s="120"/>
    </row>
    <row r="14" spans="1:9" x14ac:dyDescent="0.3">
      <c r="B14" s="120"/>
      <c r="C14" s="141">
        <v>2024</v>
      </c>
      <c r="D14" s="120"/>
      <c r="E14" s="120"/>
      <c r="F14" s="120"/>
      <c r="G14" s="120"/>
      <c r="H14" s="120"/>
      <c r="I14" s="120"/>
    </row>
    <row r="15" spans="1:9" ht="15" thickBot="1" x14ac:dyDescent="0.35">
      <c r="B15" s="142" t="s">
        <v>93</v>
      </c>
      <c r="C15" s="142" t="s">
        <v>94</v>
      </c>
      <c r="D15" s="142" t="s">
        <v>95</v>
      </c>
      <c r="E15" s="142" t="s">
        <v>96</v>
      </c>
      <c r="F15" s="142" t="s">
        <v>97</v>
      </c>
      <c r="G15" s="142" t="s">
        <v>98</v>
      </c>
      <c r="H15" s="142" t="s">
        <v>99</v>
      </c>
      <c r="I15" s="120"/>
    </row>
    <row r="16" spans="1:9" x14ac:dyDescent="0.3">
      <c r="A16" t="s">
        <v>100</v>
      </c>
      <c r="B16" s="120">
        <v>167045</v>
      </c>
      <c r="C16" s="120">
        <v>101328</v>
      </c>
      <c r="D16" s="120">
        <v>66952</v>
      </c>
      <c r="E16" s="120">
        <v>25052</v>
      </c>
      <c r="F16" s="120">
        <v>30658</v>
      </c>
      <c r="G16" s="120"/>
      <c r="H16" s="120">
        <f>B16+C16+D16+E16+F16+G16</f>
        <v>391035</v>
      </c>
      <c r="I16" s="120"/>
    </row>
    <row r="17" spans="1:11" x14ac:dyDescent="0.3">
      <c r="A17" t="s">
        <v>14</v>
      </c>
      <c r="B17" s="120">
        <v>-89587</v>
      </c>
      <c r="C17" s="120">
        <v>-55197</v>
      </c>
      <c r="D17" s="120">
        <v>-37519</v>
      </c>
      <c r="E17" s="120">
        <v>-11744</v>
      </c>
      <c r="F17" s="120">
        <v>-16305</v>
      </c>
      <c r="G17" s="120"/>
      <c r="H17" s="120">
        <f t="shared" ref="H17:H20" si="2">B17+C17+D17+E17+F17+G17</f>
        <v>-210352</v>
      </c>
      <c r="I17" s="120"/>
    </row>
    <row r="18" spans="1:11" x14ac:dyDescent="0.3">
      <c r="A18" t="s">
        <v>101</v>
      </c>
      <c r="B18" s="120"/>
      <c r="C18" s="120"/>
      <c r="D18" s="120"/>
      <c r="E18" s="120"/>
      <c r="F18" s="120"/>
      <c r="G18" s="120">
        <v>-31370</v>
      </c>
      <c r="H18" s="120">
        <f t="shared" si="2"/>
        <v>-31370</v>
      </c>
      <c r="I18" s="120"/>
    </row>
    <row r="19" spans="1:11" x14ac:dyDescent="0.3">
      <c r="A19" t="s">
        <v>102</v>
      </c>
      <c r="B19" s="120">
        <v>-9802</v>
      </c>
      <c r="C19" s="120">
        <v>-4341</v>
      </c>
      <c r="D19" s="120">
        <v>-2351</v>
      </c>
      <c r="E19" s="120">
        <v>-854</v>
      </c>
      <c r="F19" s="120">
        <v>-1291</v>
      </c>
      <c r="G19" s="120"/>
      <c r="H19" s="120">
        <f t="shared" si="2"/>
        <v>-18639</v>
      </c>
      <c r="I19" s="120"/>
    </row>
    <row r="20" spans="1:11" x14ac:dyDescent="0.3">
      <c r="A20" t="s">
        <v>103</v>
      </c>
      <c r="B20" s="120"/>
      <c r="C20" s="120"/>
      <c r="D20" s="120"/>
      <c r="E20" s="120"/>
      <c r="F20" s="120"/>
      <c r="G20" s="120">
        <v>-7458</v>
      </c>
      <c r="H20" s="120">
        <f t="shared" si="2"/>
        <v>-7458</v>
      </c>
      <c r="I20" s="120"/>
    </row>
    <row r="21" spans="1:11" ht="15" thickBot="1" x14ac:dyDescent="0.35">
      <c r="A21" t="s">
        <v>104</v>
      </c>
      <c r="B21" s="142">
        <f>B16+B17+B18+B19+B20</f>
        <v>67656</v>
      </c>
      <c r="C21" s="142">
        <f t="shared" ref="C21:G21" si="3">C16+C17+C18+C19+C20</f>
        <v>41790</v>
      </c>
      <c r="D21" s="142">
        <f t="shared" si="3"/>
        <v>27082</v>
      </c>
      <c r="E21" s="142">
        <f t="shared" si="3"/>
        <v>12454</v>
      </c>
      <c r="F21" s="142">
        <f t="shared" si="3"/>
        <v>13062</v>
      </c>
      <c r="G21" s="142">
        <f t="shared" si="3"/>
        <v>-38828</v>
      </c>
      <c r="H21" s="142">
        <f>H16+H17+H18+H19+H20</f>
        <v>123216</v>
      </c>
      <c r="I21" s="120"/>
    </row>
    <row r="25" spans="1:11" x14ac:dyDescent="0.3">
      <c r="C25" s="106">
        <v>2023</v>
      </c>
      <c r="K25" s="14"/>
    </row>
    <row r="26" spans="1:11" ht="15" thickBot="1" x14ac:dyDescent="0.35">
      <c r="B26" s="9" t="s">
        <v>93</v>
      </c>
      <c r="C26" s="9" t="s">
        <v>94</v>
      </c>
      <c r="D26" s="9" t="s">
        <v>95</v>
      </c>
      <c r="E26" s="9" t="s">
        <v>96</v>
      </c>
      <c r="F26" s="9" t="s">
        <v>97</v>
      </c>
      <c r="G26" s="9" t="s">
        <v>98</v>
      </c>
      <c r="H26" s="9" t="s">
        <v>99</v>
      </c>
    </row>
    <row r="27" spans="1:11" x14ac:dyDescent="0.3">
      <c r="A27" t="s">
        <v>100</v>
      </c>
      <c r="B27" s="120">
        <v>162560</v>
      </c>
      <c r="C27" s="120">
        <v>94294</v>
      </c>
      <c r="D27" s="120">
        <v>72559</v>
      </c>
      <c r="E27" s="120">
        <v>24257</v>
      </c>
      <c r="F27" s="120">
        <v>29615</v>
      </c>
      <c r="G27" s="120"/>
      <c r="H27" s="120">
        <f>B27+C27+D27+E27+F27+G27</f>
        <v>383285</v>
      </c>
    </row>
    <row r="28" spans="1:11" x14ac:dyDescent="0.3">
      <c r="A28" t="s">
        <v>14</v>
      </c>
      <c r="B28" s="120">
        <v>-92394</v>
      </c>
      <c r="C28" s="120">
        <v>-54101</v>
      </c>
      <c r="D28" s="120">
        <v>-39787</v>
      </c>
      <c r="E28" s="120">
        <v>-11542</v>
      </c>
      <c r="F28" s="120">
        <v>-16313</v>
      </c>
      <c r="G28" s="120"/>
      <c r="H28" s="120">
        <f t="shared" ref="H28:H32" si="4">B28+C28+D28+E28+F28+G28</f>
        <v>-214137</v>
      </c>
    </row>
    <row r="29" spans="1:11" x14ac:dyDescent="0.3">
      <c r="A29" t="s">
        <v>101</v>
      </c>
      <c r="B29" s="120"/>
      <c r="C29" s="120"/>
      <c r="D29" s="120"/>
      <c r="E29" s="120"/>
      <c r="F29" s="120"/>
      <c r="G29" s="120">
        <v>-29915</v>
      </c>
      <c r="H29" s="120">
        <f t="shared" si="4"/>
        <v>-29915</v>
      </c>
    </row>
    <row r="30" spans="1:11" x14ac:dyDescent="0.3">
      <c r="A30" t="s">
        <v>102</v>
      </c>
      <c r="B30" s="120">
        <v>-9658</v>
      </c>
      <c r="C30" s="120">
        <v>-4095</v>
      </c>
      <c r="D30" s="120">
        <v>-2444</v>
      </c>
      <c r="E30" s="120">
        <v>-827</v>
      </c>
      <c r="F30" s="120">
        <v>-1236</v>
      </c>
      <c r="G30" s="120"/>
      <c r="H30" s="120">
        <f t="shared" si="4"/>
        <v>-18260</v>
      </c>
    </row>
    <row r="31" spans="1:11" x14ac:dyDescent="0.3">
      <c r="A31" t="s">
        <v>103</v>
      </c>
      <c r="B31" s="120"/>
      <c r="C31" s="120"/>
      <c r="D31" s="120"/>
      <c r="E31" s="120"/>
      <c r="F31" s="120"/>
      <c r="G31" s="120">
        <v>-6672</v>
      </c>
      <c r="H31" s="120">
        <f t="shared" si="4"/>
        <v>-6672</v>
      </c>
    </row>
    <row r="32" spans="1:11" ht="15" thickBot="1" x14ac:dyDescent="0.35">
      <c r="A32" t="s">
        <v>104</v>
      </c>
      <c r="B32" s="142">
        <f>B27+B28+B29+B30+B31</f>
        <v>60508</v>
      </c>
      <c r="C32" s="142">
        <f t="shared" ref="C32:G32" si="5">C27+C28+C29+C30+C31</f>
        <v>36098</v>
      </c>
      <c r="D32" s="142">
        <f t="shared" si="5"/>
        <v>30328</v>
      </c>
      <c r="E32" s="142">
        <f t="shared" si="5"/>
        <v>11888</v>
      </c>
      <c r="F32" s="142">
        <f t="shared" si="5"/>
        <v>12066</v>
      </c>
      <c r="G32" s="142">
        <f t="shared" si="5"/>
        <v>-36587</v>
      </c>
      <c r="H32" s="142">
        <f t="shared" si="4"/>
        <v>114301</v>
      </c>
    </row>
    <row r="33" spans="1:8" x14ac:dyDescent="0.3">
      <c r="B33" s="120"/>
      <c r="C33" s="120"/>
      <c r="D33" s="120"/>
      <c r="E33" s="120"/>
      <c r="F33" s="120"/>
      <c r="G33" s="120"/>
      <c r="H33" s="120"/>
    </row>
    <row r="36" spans="1:8" x14ac:dyDescent="0.3">
      <c r="B36" t="s">
        <v>105</v>
      </c>
    </row>
    <row r="37" spans="1:8" x14ac:dyDescent="0.3">
      <c r="B37" t="s">
        <v>106</v>
      </c>
    </row>
    <row r="39" spans="1:8" ht="15" thickBot="1" x14ac:dyDescent="0.35">
      <c r="B39" s="15" t="s">
        <v>122</v>
      </c>
      <c r="C39" s="15" t="s">
        <v>116</v>
      </c>
      <c r="D39" s="15" t="s">
        <v>111</v>
      </c>
      <c r="E39" s="46" t="s">
        <v>112</v>
      </c>
      <c r="F39" s="46" t="s">
        <v>113</v>
      </c>
      <c r="G39" s="46" t="s">
        <v>114</v>
      </c>
    </row>
    <row r="40" spans="1:8" x14ac:dyDescent="0.3">
      <c r="A40" t="s">
        <v>107</v>
      </c>
      <c r="B40" s="11">
        <v>200583</v>
      </c>
      <c r="C40" s="11">
        <v>201183</v>
      </c>
      <c r="D40" s="11">
        <v>209586</v>
      </c>
      <c r="E40" s="44">
        <f>D40*(1+D51)</f>
        <v>222161.16</v>
      </c>
      <c r="F40" s="44">
        <f>E40*(1+E51)</f>
        <v>237712.44120000003</v>
      </c>
      <c r="G40" s="44">
        <f>F40*(1+F51)</f>
        <v>249598.06326000005</v>
      </c>
    </row>
    <row r="41" spans="1:8" x14ac:dyDescent="0.3">
      <c r="A41" t="s">
        <v>108</v>
      </c>
      <c r="B41" s="11">
        <v>29357</v>
      </c>
      <c r="C41" s="11">
        <v>29984</v>
      </c>
      <c r="D41" s="11">
        <v>33708</v>
      </c>
      <c r="E41" s="44">
        <f t="shared" ref="E41:G44" si="6">D41*(1+D52)</f>
        <v>35393.4</v>
      </c>
      <c r="F41" s="44">
        <f t="shared" si="6"/>
        <v>37517.004000000001</v>
      </c>
      <c r="G41" s="44">
        <f t="shared" si="6"/>
        <v>39017.684160000004</v>
      </c>
    </row>
    <row r="42" spans="1:8" x14ac:dyDescent="0.3">
      <c r="A42" t="s">
        <v>109</v>
      </c>
      <c r="B42" s="11">
        <v>28300</v>
      </c>
      <c r="C42" s="11">
        <v>26694</v>
      </c>
      <c r="D42" s="11">
        <v>28023</v>
      </c>
      <c r="E42" s="44">
        <f t="shared" si="6"/>
        <v>28583.46</v>
      </c>
      <c r="F42" s="44">
        <f t="shared" si="6"/>
        <v>29726.7984</v>
      </c>
      <c r="G42" s="44">
        <f t="shared" si="6"/>
        <v>30618.602352000002</v>
      </c>
    </row>
    <row r="43" spans="1:8" x14ac:dyDescent="0.3">
      <c r="A43" t="s">
        <v>110</v>
      </c>
      <c r="B43" s="11">
        <v>39845</v>
      </c>
      <c r="C43" s="11">
        <v>37005</v>
      </c>
      <c r="D43" s="11">
        <v>35686</v>
      </c>
      <c r="E43" s="44">
        <f t="shared" si="6"/>
        <v>36399.72</v>
      </c>
      <c r="F43" s="44">
        <f t="shared" si="6"/>
        <v>37855.7088</v>
      </c>
      <c r="G43" s="44">
        <f t="shared" si="6"/>
        <v>38991.380064000004</v>
      </c>
    </row>
    <row r="44" spans="1:8" x14ac:dyDescent="0.3">
      <c r="A44" t="s">
        <v>1</v>
      </c>
      <c r="B44" s="11">
        <v>85200</v>
      </c>
      <c r="C44" s="11">
        <v>96169</v>
      </c>
      <c r="D44" s="11">
        <v>109158</v>
      </c>
      <c r="E44" s="44">
        <f t="shared" si="6"/>
        <v>121165.38</v>
      </c>
      <c r="F44" s="44">
        <f t="shared" si="6"/>
        <v>135705.22560000001</v>
      </c>
      <c r="G44" s="44">
        <f t="shared" si="6"/>
        <v>149275.74816000002</v>
      </c>
    </row>
    <row r="45" spans="1:8" ht="15" thickBot="1" x14ac:dyDescent="0.35">
      <c r="A45" s="106" t="s">
        <v>10</v>
      </c>
      <c r="B45" s="12">
        <f>B40+B41+B42+B43+B44</f>
        <v>383285</v>
      </c>
      <c r="C45" s="12">
        <f t="shared" ref="C45" si="7">C40+C41+C42+C43+C44</f>
        <v>391035</v>
      </c>
      <c r="D45" s="12">
        <f>D40+D41+D42+D43+D44</f>
        <v>416161</v>
      </c>
      <c r="E45" s="45">
        <f>E40+E41+E42+E43+E44</f>
        <v>443703.12</v>
      </c>
      <c r="F45" s="45">
        <f t="shared" ref="F45:G45" si="8">F40+F41+F42+F43+F44</f>
        <v>478517.17800000007</v>
      </c>
      <c r="G45" s="45">
        <f t="shared" si="8"/>
        <v>507501.47799600009</v>
      </c>
    </row>
    <row r="48" spans="1:8" x14ac:dyDescent="0.3">
      <c r="B48" t="s">
        <v>115</v>
      </c>
    </row>
    <row r="50" spans="1:6" ht="15" thickBot="1" x14ac:dyDescent="0.35">
      <c r="B50" s="46" t="s">
        <v>116</v>
      </c>
      <c r="C50" s="46" t="s">
        <v>111</v>
      </c>
      <c r="D50" s="46" t="s">
        <v>112</v>
      </c>
      <c r="E50" s="46" t="s">
        <v>113</v>
      </c>
      <c r="F50" s="46" t="s">
        <v>114</v>
      </c>
    </row>
    <row r="51" spans="1:6" x14ac:dyDescent="0.3">
      <c r="A51" t="s">
        <v>107</v>
      </c>
      <c r="B51" s="17">
        <f t="shared" ref="B51:C55" si="9">(C40/B40)-1</f>
        <v>2.9912804175826757E-3</v>
      </c>
      <c r="C51" s="17">
        <f t="shared" si="9"/>
        <v>4.1767942619406195E-2</v>
      </c>
      <c r="D51" s="18">
        <f>Assumptions!C4</f>
        <v>0.06</v>
      </c>
      <c r="E51" s="18">
        <f>Assumptions!F4</f>
        <v>7.0000000000000007E-2</v>
      </c>
      <c r="F51" s="18">
        <f>Assumptions!I4</f>
        <v>0.05</v>
      </c>
    </row>
    <row r="52" spans="1:6" x14ac:dyDescent="0.3">
      <c r="A52" t="s">
        <v>108</v>
      </c>
      <c r="B52" s="17">
        <f t="shared" si="9"/>
        <v>2.1357768164322E-2</v>
      </c>
      <c r="C52" s="17">
        <f t="shared" si="9"/>
        <v>0.12419957310565644</v>
      </c>
      <c r="D52" s="18">
        <f>Assumptions!C5</f>
        <v>0.05</v>
      </c>
      <c r="E52" s="18">
        <f>Assumptions!F5</f>
        <v>0.06</v>
      </c>
      <c r="F52" s="18">
        <f>Assumptions!I5</f>
        <v>0.04</v>
      </c>
    </row>
    <row r="53" spans="1:6" x14ac:dyDescent="0.3">
      <c r="A53" t="s">
        <v>109</v>
      </c>
      <c r="B53" s="17">
        <f t="shared" si="9"/>
        <v>-5.674911660777382E-2</v>
      </c>
      <c r="C53" s="17">
        <f t="shared" si="9"/>
        <v>4.9786468869408962E-2</v>
      </c>
      <c r="D53" s="18">
        <f>Assumptions!C6</f>
        <v>0.02</v>
      </c>
      <c r="E53" s="18">
        <f>Assumptions!F6</f>
        <v>0.04</v>
      </c>
      <c r="F53" s="18">
        <f>Assumptions!I6</f>
        <v>0.03</v>
      </c>
    </row>
    <row r="54" spans="1:6" x14ac:dyDescent="0.3">
      <c r="A54" t="s">
        <v>110</v>
      </c>
      <c r="B54" s="17">
        <f t="shared" si="9"/>
        <v>-7.1276195256619435E-2</v>
      </c>
      <c r="C54" s="17">
        <f t="shared" si="9"/>
        <v>-3.5643831914606183E-2</v>
      </c>
      <c r="D54" s="18">
        <f>Assumptions!C7</f>
        <v>0.02</v>
      </c>
      <c r="E54" s="18">
        <f>Assumptions!F7</f>
        <v>0.04</v>
      </c>
      <c r="F54" s="18">
        <f>Assumptions!I7</f>
        <v>0.03</v>
      </c>
    </row>
    <row r="55" spans="1:6" x14ac:dyDescent="0.3">
      <c r="A55" t="s">
        <v>1</v>
      </c>
      <c r="B55" s="17">
        <f t="shared" si="9"/>
        <v>0.12874413145539898</v>
      </c>
      <c r="C55" s="17">
        <f t="shared" si="9"/>
        <v>0.13506431386413498</v>
      </c>
      <c r="D55" s="18">
        <f>Assumptions!C8</f>
        <v>0.11</v>
      </c>
      <c r="E55" s="18">
        <f>Assumptions!F8</f>
        <v>0.12</v>
      </c>
      <c r="F55" s="18">
        <f>Assumptions!I8</f>
        <v>0.1</v>
      </c>
    </row>
  </sheetData>
  <pageMargins left="0.7" right="0.7" top="0.75" bottom="0.75" header="0.3" footer="0.3"/>
  <ignoredErrors>
    <ignoredError sqref="H7:H9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F4C14-844B-444D-94A4-FF4E02FD498A}">
  <dimension ref="A1:M45"/>
  <sheetViews>
    <sheetView showGridLines="0" tabSelected="1" topLeftCell="A22" workbookViewId="0">
      <selection activeCell="G18" sqref="G18"/>
    </sheetView>
  </sheetViews>
  <sheetFormatPr defaultRowHeight="14.4" x14ac:dyDescent="0.3"/>
  <cols>
    <col min="1" max="1" width="27.88671875" bestFit="1" customWidth="1"/>
    <col min="2" max="2" width="14.109375" bestFit="1" customWidth="1"/>
    <col min="3" max="4" width="11.33203125" bestFit="1" customWidth="1"/>
    <col min="7" max="7" width="11.5546875" bestFit="1" customWidth="1"/>
    <col min="11" max="11" width="14.77734375" bestFit="1" customWidth="1"/>
    <col min="12" max="12" width="22.77734375" bestFit="1" customWidth="1"/>
    <col min="13" max="13" width="20.21875" bestFit="1" customWidth="1"/>
  </cols>
  <sheetData>
    <row r="1" spans="1:13" x14ac:dyDescent="0.3">
      <c r="A1" s="82"/>
      <c r="B1" s="116" t="s">
        <v>112</v>
      </c>
      <c r="C1" s="116" t="s">
        <v>113</v>
      </c>
      <c r="D1" s="117" t="s">
        <v>114</v>
      </c>
      <c r="L1" s="91" t="s">
        <v>169</v>
      </c>
      <c r="M1" s="92" t="s">
        <v>167</v>
      </c>
    </row>
    <row r="2" spans="1:13" x14ac:dyDescent="0.3">
      <c r="A2" s="58" t="s">
        <v>153</v>
      </c>
      <c r="B2" s="143">
        <f>'Income Statement'!E20</f>
        <v>143174.57909999997</v>
      </c>
      <c r="C2" s="143">
        <f>'Income Statement'!F20</f>
        <v>156013.33798080002</v>
      </c>
      <c r="D2" s="143">
        <f>'Income Statement'!G20</f>
        <v>167539.30953321603</v>
      </c>
      <c r="L2" s="93" t="s">
        <v>170</v>
      </c>
      <c r="M2" s="94">
        <v>4.2999999999999997E-2</v>
      </c>
    </row>
    <row r="3" spans="1:13" x14ac:dyDescent="0.3">
      <c r="A3" s="58" t="s">
        <v>154</v>
      </c>
      <c r="B3" s="149">
        <f>Assumptions!B23</f>
        <v>0.16</v>
      </c>
      <c r="C3" s="149">
        <f>Assumptions!C23</f>
        <v>0.16</v>
      </c>
      <c r="D3" s="149">
        <f>Assumptions!D23</f>
        <v>0.16</v>
      </c>
      <c r="L3" s="93" t="s">
        <v>171</v>
      </c>
      <c r="M3" s="93">
        <v>1.05</v>
      </c>
    </row>
    <row r="4" spans="1:13" x14ac:dyDescent="0.3">
      <c r="A4" s="58" t="s">
        <v>155</v>
      </c>
      <c r="B4" s="44">
        <f>B2*(1-B3)</f>
        <v>120266.64644399997</v>
      </c>
      <c r="C4" s="44">
        <f>C2*(1-C3)</f>
        <v>131051.20390387201</v>
      </c>
      <c r="D4" s="77">
        <f>D2*(1-D3)</f>
        <v>140733.02000790145</v>
      </c>
      <c r="L4" s="93" t="s">
        <v>173</v>
      </c>
      <c r="M4" s="94">
        <v>5.5E-2</v>
      </c>
    </row>
    <row r="5" spans="1:13" x14ac:dyDescent="0.3">
      <c r="A5" s="58" t="s">
        <v>143</v>
      </c>
      <c r="B5" s="143">
        <f>'Cash Flow'!E9</f>
        <v>13311.0936</v>
      </c>
      <c r="C5" s="143">
        <f>'Cash Flow'!F9</f>
        <v>14355.515340000002</v>
      </c>
      <c r="D5" s="144">
        <f>'Cash Flow'!G9</f>
        <v>15225.044339880002</v>
      </c>
      <c r="L5" s="114" t="s">
        <v>172</v>
      </c>
      <c r="M5" s="94">
        <f>M2+M3*M4</f>
        <v>0.10075000000000001</v>
      </c>
    </row>
    <row r="6" spans="1:13" x14ac:dyDescent="0.3">
      <c r="A6" s="58" t="s">
        <v>139</v>
      </c>
      <c r="B6" s="143">
        <f>-'Cash Flow'!E25</f>
        <v>15529.609200000001</v>
      </c>
      <c r="C6" s="143">
        <f>-'Cash Flow'!F25</f>
        <v>17705.135586</v>
      </c>
      <c r="D6" s="144">
        <f>-'Cash Flow'!G25</f>
        <v>20300.059119840003</v>
      </c>
      <c r="L6" s="114" t="s">
        <v>174</v>
      </c>
      <c r="M6" s="95">
        <v>0.04</v>
      </c>
    </row>
    <row r="7" spans="1:13" x14ac:dyDescent="0.3">
      <c r="A7" s="58" t="s">
        <v>156</v>
      </c>
      <c r="B7" s="11">
        <f>C21</f>
        <v>-754.36891180003295</v>
      </c>
      <c r="C7" s="11">
        <f t="shared" ref="C7:D7" si="0">D21</f>
        <v>-446.26151563196618</v>
      </c>
      <c r="D7" s="81">
        <f t="shared" si="0"/>
        <v>198.06476269151608</v>
      </c>
      <c r="L7" s="93" t="s">
        <v>175</v>
      </c>
      <c r="M7" s="96">
        <f>'Balance Sheet'!C25+'Balance Sheet'!C26+'Balance Sheet'!C30</f>
        <v>98657</v>
      </c>
    </row>
    <row r="8" spans="1:13" x14ac:dyDescent="0.3">
      <c r="A8" s="108" t="s">
        <v>157</v>
      </c>
      <c r="B8" s="50">
        <f>B4+B5-B6-B7</f>
        <v>118802.4997558</v>
      </c>
      <c r="C8" s="50">
        <f t="shared" ref="C8:D8" si="1">C4+C5-C6-C7</f>
        <v>128147.84517350397</v>
      </c>
      <c r="D8" s="86">
        <f t="shared" si="1"/>
        <v>135459.94046524994</v>
      </c>
      <c r="L8" s="93" t="s">
        <v>176</v>
      </c>
      <c r="M8" s="97">
        <v>298</v>
      </c>
    </row>
    <row r="9" spans="1:13" x14ac:dyDescent="0.3">
      <c r="L9" s="93" t="s">
        <v>177</v>
      </c>
      <c r="M9" s="96">
        <f>'Income Statement'!D32/1000</f>
        <v>15004.697</v>
      </c>
    </row>
    <row r="10" spans="1:13" x14ac:dyDescent="0.3">
      <c r="L10" s="93" t="s">
        <v>178</v>
      </c>
      <c r="M10" s="98">
        <f>M8*M9</f>
        <v>4471399.7060000002</v>
      </c>
    </row>
    <row r="11" spans="1:13" x14ac:dyDescent="0.3">
      <c r="A11" s="82"/>
      <c r="B11" s="116" t="s">
        <v>111</v>
      </c>
      <c r="C11" s="116" t="s">
        <v>112</v>
      </c>
      <c r="D11" s="116" t="s">
        <v>113</v>
      </c>
      <c r="E11" s="117" t="s">
        <v>114</v>
      </c>
      <c r="L11" s="93" t="s">
        <v>179</v>
      </c>
      <c r="M11" s="98">
        <f>M7+M10</f>
        <v>4570056.7060000002</v>
      </c>
    </row>
    <row r="12" spans="1:13" x14ac:dyDescent="0.3">
      <c r="A12" s="58" t="s">
        <v>160</v>
      </c>
      <c r="B12" s="143">
        <f>'Balance Sheet'!C7</f>
        <v>39777</v>
      </c>
      <c r="C12" s="143">
        <f>'Balance Sheet'!D7</f>
        <v>42151.796399999999</v>
      </c>
      <c r="D12" s="143">
        <f>'Balance Sheet'!E7</f>
        <v>45459.131910000011</v>
      </c>
      <c r="E12" s="143">
        <f>'Balance Sheet'!F7</f>
        <v>47705.138931624009</v>
      </c>
      <c r="L12" s="114" t="s">
        <v>180</v>
      </c>
      <c r="M12" s="99">
        <f>M10/M11</f>
        <v>0.97841230287788905</v>
      </c>
    </row>
    <row r="13" spans="1:13" x14ac:dyDescent="0.3">
      <c r="A13" s="58" t="s">
        <v>158</v>
      </c>
      <c r="B13" s="143">
        <f>'Balance Sheet'!B8</f>
        <v>32833</v>
      </c>
      <c r="C13" s="143">
        <f>'Balance Sheet'!C8</f>
        <v>33180</v>
      </c>
      <c r="D13" s="143">
        <f>'Balance Sheet'!D8</f>
        <v>35496.249600000003</v>
      </c>
      <c r="E13" s="144">
        <f>'Balance Sheet'!E8</f>
        <v>38281.374240000005</v>
      </c>
      <c r="L13" s="114" t="s">
        <v>181</v>
      </c>
      <c r="M13" s="100">
        <f>M7/M11</f>
        <v>2.1587697122110939E-2</v>
      </c>
    </row>
    <row r="14" spans="1:13" x14ac:dyDescent="0.3">
      <c r="A14" s="58" t="s">
        <v>159</v>
      </c>
      <c r="B14" s="143">
        <f>'Balance Sheet'!C9</f>
        <v>5718</v>
      </c>
      <c r="C14" s="143">
        <f>'Balance Sheet'!D9</f>
        <v>5805.6793199999993</v>
      </c>
      <c r="D14" s="143">
        <f>'Balance Sheet'!E9</f>
        <v>5827.8031908000012</v>
      </c>
      <c r="E14" s="144">
        <f>'Balance Sheet'!F9</f>
        <v>6089.8374072120014</v>
      </c>
      <c r="L14" s="93" t="s">
        <v>182</v>
      </c>
      <c r="M14" s="99">
        <f>M6*(1-Assumptions!B23)</f>
        <v>3.3599999999999998E-2</v>
      </c>
    </row>
    <row r="15" spans="1:13" x14ac:dyDescent="0.3">
      <c r="A15" s="58" t="s">
        <v>161</v>
      </c>
      <c r="B15" s="143">
        <f>'Balance Sheet'!B10</f>
        <v>14287</v>
      </c>
      <c r="C15" s="143">
        <f>'Balance Sheet'!C10</f>
        <v>14585</v>
      </c>
      <c r="D15" s="143">
        <f>'Balance Sheet'!D10</f>
        <v>14585</v>
      </c>
      <c r="E15" s="144">
        <f>'Balance Sheet'!E10</f>
        <v>14585</v>
      </c>
      <c r="L15" s="114" t="s">
        <v>168</v>
      </c>
      <c r="M15" s="94">
        <f>M12*M5+(M13*M14)</f>
        <v>9.9300386138250249E-2</v>
      </c>
    </row>
    <row r="16" spans="1:13" ht="15" thickBot="1" x14ac:dyDescent="0.35">
      <c r="A16" s="58" t="s">
        <v>162</v>
      </c>
      <c r="B16" s="12">
        <f>B12+B13+B14+B15</f>
        <v>92615</v>
      </c>
      <c r="C16" s="12">
        <f t="shared" ref="C16:E16" si="2">C12+C13+C14+C15</f>
        <v>95722.475719999988</v>
      </c>
      <c r="D16" s="12">
        <f t="shared" si="2"/>
        <v>101368.1847008</v>
      </c>
      <c r="E16" s="87">
        <f t="shared" si="2"/>
        <v>106661.35057883602</v>
      </c>
      <c r="L16" s="93" t="s">
        <v>183</v>
      </c>
      <c r="M16" s="94">
        <v>0.03</v>
      </c>
    </row>
    <row r="17" spans="1:13" x14ac:dyDescent="0.3">
      <c r="A17" s="58" t="s">
        <v>163</v>
      </c>
      <c r="B17" s="143">
        <f>'Balance Sheet'!C22</f>
        <v>69860</v>
      </c>
      <c r="C17" s="143">
        <f>'Balance Sheet'!D22</f>
        <v>72394.104631800001</v>
      </c>
      <c r="D17" s="143">
        <f>'Balance Sheet'!E22</f>
        <v>77131.780328232009</v>
      </c>
      <c r="E17" s="144">
        <f>'Balance Sheet'!F22</f>
        <v>80845.500747576487</v>
      </c>
      <c r="L17" s="93" t="s">
        <v>184</v>
      </c>
      <c r="M17" s="98">
        <f>D8*(1+M16)</f>
        <v>139523.73867920742</v>
      </c>
    </row>
    <row r="18" spans="1:13" x14ac:dyDescent="0.3">
      <c r="A18" s="58" t="s">
        <v>138</v>
      </c>
      <c r="B18" s="143">
        <f>'Balance Sheet'!C23</f>
        <v>66387</v>
      </c>
      <c r="C18" s="143">
        <f>'Balance Sheet'!D23</f>
        <v>67714.740000000005</v>
      </c>
      <c r="D18" s="143">
        <f>'Balance Sheet'!E23</f>
        <v>69069.034800000009</v>
      </c>
      <c r="E18" s="144">
        <f>'Balance Sheet'!F23</f>
        <v>70450.415496000016</v>
      </c>
      <c r="L18" s="114" t="s">
        <v>185</v>
      </c>
      <c r="M18" s="98">
        <f>M17/(M15-M16)</f>
        <v>2013318.3442999243</v>
      </c>
    </row>
    <row r="19" spans="1:13" ht="15" thickBot="1" x14ac:dyDescent="0.35">
      <c r="A19" s="58" t="s">
        <v>164</v>
      </c>
      <c r="B19" s="12">
        <f>B17+B18</f>
        <v>136247</v>
      </c>
      <c r="C19" s="12">
        <f t="shared" ref="C19:E19" si="3">C17+C18</f>
        <v>140108.84463180002</v>
      </c>
      <c r="D19" s="12">
        <f t="shared" si="3"/>
        <v>146200.815128232</v>
      </c>
      <c r="E19" s="87">
        <f t="shared" si="3"/>
        <v>151295.9162435765</v>
      </c>
      <c r="L19" s="115" t="s">
        <v>189</v>
      </c>
      <c r="M19" s="101">
        <f>M18/(1+M15)^3</f>
        <v>1515525.7125976942</v>
      </c>
    </row>
    <row r="20" spans="1:13" x14ac:dyDescent="0.3">
      <c r="A20" s="109" t="s">
        <v>165</v>
      </c>
      <c r="B20" s="11">
        <f>B16-B19</f>
        <v>-43632</v>
      </c>
      <c r="C20" s="11">
        <f>C16-C19</f>
        <v>-44386.368911800033</v>
      </c>
      <c r="D20" s="11">
        <f>D16-D19</f>
        <v>-44832.630427431999</v>
      </c>
      <c r="E20" s="81">
        <f>E16-E19</f>
        <v>-44634.565664740483</v>
      </c>
    </row>
    <row r="21" spans="1:13" x14ac:dyDescent="0.3">
      <c r="A21" s="60" t="s">
        <v>166</v>
      </c>
      <c r="B21" s="85"/>
      <c r="C21" s="13">
        <f>C20-B20</f>
        <v>-754.36891180003295</v>
      </c>
      <c r="D21" s="13">
        <f>D20-C20</f>
        <v>-446.26151563196618</v>
      </c>
      <c r="E21" s="88">
        <f>E20-D20</f>
        <v>198.06476269151608</v>
      </c>
    </row>
    <row r="23" spans="1:13" x14ac:dyDescent="0.3">
      <c r="B23" t="s">
        <v>186</v>
      </c>
    </row>
    <row r="24" spans="1:13" x14ac:dyDescent="0.3">
      <c r="A24" s="55" t="s">
        <v>157</v>
      </c>
      <c r="B24" s="145">
        <f>B8</f>
        <v>118802.4997558</v>
      </c>
      <c r="C24" s="145">
        <f t="shared" ref="C24:D24" si="4">C8</f>
        <v>128147.84517350397</v>
      </c>
      <c r="D24" s="146">
        <f t="shared" si="4"/>
        <v>135459.94046524994</v>
      </c>
    </row>
    <row r="25" spans="1:13" x14ac:dyDescent="0.3">
      <c r="A25" s="58" t="s">
        <v>187</v>
      </c>
      <c r="B25">
        <f>1/(1+M15)^1</f>
        <v>0.90966947033732604</v>
      </c>
      <c r="C25">
        <f>1/(1+M15)^2</f>
        <v>0.82749854526379119</v>
      </c>
      <c r="D25" s="89">
        <f>1/(1+M15)^3</f>
        <v>0.75275016337502076</v>
      </c>
    </row>
    <row r="26" spans="1:13" x14ac:dyDescent="0.3">
      <c r="A26" s="108" t="s">
        <v>188</v>
      </c>
      <c r="B26" s="78">
        <f>B24*B25</f>
        <v>108071.0070276089</v>
      </c>
      <c r="C26" s="78">
        <f t="shared" ref="C26:D26" si="5">C24*C25</f>
        <v>106042.15545976408</v>
      </c>
      <c r="D26" s="79">
        <f t="shared" si="5"/>
        <v>101967.49231598747</v>
      </c>
    </row>
    <row r="29" spans="1:13" x14ac:dyDescent="0.3">
      <c r="B29" t="s">
        <v>190</v>
      </c>
    </row>
    <row r="30" spans="1:13" x14ac:dyDescent="0.3">
      <c r="A30" s="55" t="s">
        <v>191</v>
      </c>
      <c r="B30" s="146">
        <f>B26</f>
        <v>108071.0070276089</v>
      </c>
    </row>
    <row r="31" spans="1:13" x14ac:dyDescent="0.3">
      <c r="A31" s="58" t="s">
        <v>192</v>
      </c>
      <c r="B31" s="147">
        <f>C26</f>
        <v>106042.15545976408</v>
      </c>
      <c r="G31" s="110" t="s">
        <v>198</v>
      </c>
      <c r="H31" s="111">
        <f>B38</f>
        <v>121.28736086856776</v>
      </c>
    </row>
    <row r="32" spans="1:13" x14ac:dyDescent="0.3">
      <c r="A32" s="58" t="s">
        <v>193</v>
      </c>
      <c r="B32" s="147">
        <f>D26</f>
        <v>101967.49231598747</v>
      </c>
      <c r="G32" s="109" t="s">
        <v>200</v>
      </c>
      <c r="H32" s="112">
        <f>M8</f>
        <v>298</v>
      </c>
    </row>
    <row r="33" spans="1:8" x14ac:dyDescent="0.3">
      <c r="A33" s="58" t="s">
        <v>194</v>
      </c>
      <c r="B33" s="147">
        <f>M19</f>
        <v>1515525.7125976942</v>
      </c>
      <c r="G33" s="108" t="s">
        <v>202</v>
      </c>
      <c r="H33" s="113">
        <f>H31/H32-1</f>
        <v>-0.59299543332695381</v>
      </c>
    </row>
    <row r="34" spans="1:8" x14ac:dyDescent="0.3">
      <c r="A34" s="109" t="s">
        <v>195</v>
      </c>
      <c r="B34" s="77">
        <f>B30+B31+B32+B33</f>
        <v>1831606.3674010546</v>
      </c>
    </row>
    <row r="35" spans="1:8" x14ac:dyDescent="0.3">
      <c r="A35" s="58" t="s">
        <v>197</v>
      </c>
      <c r="B35" s="144">
        <f>'Cash Flow'!G40</f>
        <v>86930.732361461472</v>
      </c>
    </row>
    <row r="36" spans="1:8" x14ac:dyDescent="0.3">
      <c r="A36" s="58" t="s">
        <v>175</v>
      </c>
      <c r="B36" s="81">
        <f>'Balance Sheet'!F25+'Balance Sheet'!F26+'Balance Sheet'!F30</f>
        <v>98657</v>
      </c>
    </row>
    <row r="37" spans="1:8" x14ac:dyDescent="0.3">
      <c r="A37" s="58" t="s">
        <v>196</v>
      </c>
      <c r="B37" s="77">
        <f>B34+B35-B36</f>
        <v>1819880.0997625161</v>
      </c>
    </row>
    <row r="38" spans="1:8" x14ac:dyDescent="0.3">
      <c r="A38" s="108" t="s">
        <v>199</v>
      </c>
      <c r="B38" s="90">
        <f>B37/DCF!M9</f>
        <v>121.28736086856776</v>
      </c>
    </row>
    <row r="41" spans="1:8" x14ac:dyDescent="0.3">
      <c r="A41" s="54" t="s">
        <v>203</v>
      </c>
      <c r="B41" s="106" t="s">
        <v>201</v>
      </c>
      <c r="D41" t="s">
        <v>204</v>
      </c>
    </row>
    <row r="42" spans="1:8" x14ac:dyDescent="0.3">
      <c r="A42" s="148">
        <f>$B$38</f>
        <v>121.28736086856776</v>
      </c>
      <c r="B42" s="65">
        <v>0.12180000000000001</v>
      </c>
      <c r="C42" s="65">
        <v>0.1318</v>
      </c>
      <c r="D42" s="66">
        <v>0.14180000000000001</v>
      </c>
    </row>
    <row r="43" spans="1:8" x14ac:dyDescent="0.3">
      <c r="A43" s="102">
        <v>0.02</v>
      </c>
      <c r="B43">
        <f t="dataTable" ref="B43:D45" dt2D="1" dtr="1" r1="M15" r2="M16"/>
        <v>83.533247316208275</v>
      </c>
      <c r="C43">
        <v>75.919377730992025</v>
      </c>
      <c r="D43" s="89">
        <v>69.557209456459177</v>
      </c>
    </row>
    <row r="44" spans="1:8" x14ac:dyDescent="0.3">
      <c r="A44" s="103">
        <v>2.5000000000000001E-2</v>
      </c>
      <c r="B44" s="54">
        <v>87.173232770982864</v>
      </c>
      <c r="C44" s="54">
        <v>78.870595244299324</v>
      </c>
      <c r="D44" s="89">
        <v>71.991001385009099</v>
      </c>
    </row>
    <row r="45" spans="1:8" x14ac:dyDescent="0.3">
      <c r="A45" s="104">
        <v>0.03</v>
      </c>
      <c r="B45" s="85">
        <v>91.209730802530302</v>
      </c>
      <c r="C45" s="85">
        <v>82.1117162461437</v>
      </c>
      <c r="D45" s="105">
        <v>74.642484899296946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71265A-1B39-4E4C-B9BD-FED93C4C51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Assumptions</vt:lpstr>
      <vt:lpstr>Income Statement</vt:lpstr>
      <vt:lpstr>Balance Sheet</vt:lpstr>
      <vt:lpstr>Cash Flow</vt:lpstr>
      <vt:lpstr>Operating Statistics</vt:lpstr>
      <vt:lpstr>DCF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Divyanshi Garg</dc:creator>
  <cp:lastModifiedBy>Divyanshi Garg</cp:lastModifiedBy>
  <cp:lastPrinted>2026-06-23T08:59:03Z</cp:lastPrinted>
  <dcterms:created xsi:type="dcterms:W3CDTF">2026-06-18T07:51:49Z</dcterms:created>
  <dcterms:modified xsi:type="dcterms:W3CDTF">2026-06-23T09:23:53Z</dcterms:modified>
</cp:coreProperties>
</file>